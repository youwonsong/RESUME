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workbookPr codeName="ThisWorkbook"/>
  <mc:AlternateContent xmlns:mc="http://schemas.openxmlformats.org/markup-compatibility/2006">
    <mc:Choice Requires="x15">
      <x15ac:absPath xmlns:x15ac="http://schemas.microsoft.com/office/spreadsheetml/2010/11/ac" url="C:\Users\bkgelder\Box\DEP Team Database\University of Minnesota\MN DEP Phase III\"/>
    </mc:Choice>
  </mc:AlternateContent>
  <xr:revisionPtr revIDLastSave="0" documentId="8_{2DFD55C5-343C-4FC3-B290-DBB380E3C97B}" xr6:coauthVersionLast="47" xr6:coauthVersionMax="47" xr10:uidLastSave="{00000000-0000-0000-0000-000000000000}"/>
  <bookViews>
    <workbookView xWindow="38790" yWindow="5600" windowWidth="37410" windowHeight="15450" xr2:uid="{00000000-000D-0000-FFFF-FFFF00000000}"/>
  </bookViews>
  <sheets>
    <sheet name="Summary" sheetId="2" r:id="rId1"/>
    <sheet name="F&amp;A Calculation- Sponsor Funds " sheetId="6" state="hidden" r:id="rId2"/>
    <sheet name="F&amp;A Calculations - Cost Share" sheetId="7" state="hidden" r:id="rId3"/>
    <sheet name="Tuition" sheetId="3" r:id="rId4"/>
    <sheet name="Travel" sheetId="9" r:id="rId5"/>
  </sheets>
  <externalReferences>
    <externalReference r:id="rId6"/>
    <externalReference r:id="rId7"/>
  </externalReferences>
  <definedNames>
    <definedName name="_YR1" localSheetId="2">#REF!</definedName>
    <definedName name="_YR1">#REF!</definedName>
    <definedName name="_YR2" localSheetId="2">#REF!</definedName>
    <definedName name="_YR2">#REF!</definedName>
    <definedName name="_YR3" localSheetId="2">'[1]Form Page 4'!#REF!</definedName>
    <definedName name="_YR3">'[1]Form Page 4'!#REF!</definedName>
    <definedName name="_YR4" localSheetId="2">'[1]Form Page 4'!#REF!</definedName>
    <definedName name="_YR4">'[1]Form Page 4'!#REF!</definedName>
    <definedName name="_YR5" localSheetId="2">'[1]Form Page 4'!#REF!</definedName>
    <definedName name="_YR5">'[1]Form Page 4'!#REF!</definedName>
    <definedName name="bach" localSheetId="2">#REF!</definedName>
    <definedName name="bach">#REF!</definedName>
    <definedName name="FA_RATE">Summary!$U$4:$U$7</definedName>
    <definedName name="fac" localSheetId="2">#REF!</definedName>
    <definedName name="fac">#REF!</definedName>
    <definedName name="grad" localSheetId="2">#REF!</definedName>
    <definedName name="grad">#REF!</definedName>
    <definedName name="GroundTranspo">Travel!$P$10</definedName>
    <definedName name="GS" localSheetId="2">'[1]Form Page 4'!#REF!</definedName>
    <definedName name="GS">'[1]Form Page 4'!#REF!</definedName>
    <definedName name="hour" localSheetId="2">#REF!</definedName>
    <definedName name="hour">#REF!</definedName>
    <definedName name="HR" localSheetId="2">'[1]Form Page 4'!#REF!</definedName>
    <definedName name="HR">'[1]Form Page 4'!#REF!</definedName>
    <definedName name="merit" localSheetId="2">#REF!</definedName>
    <definedName name="merit">#REF!</definedName>
    <definedName name="mileage">Travel!$P$8</definedName>
    <definedName name="Negotiated">Summary!$U$4</definedName>
    <definedName name="OtherMTDC">Summary!$U$7</definedName>
    <definedName name="OtherTDC">Summary!$U$5</definedName>
    <definedName name="parking">Travel!$P$9</definedName>
    <definedName name="PD" localSheetId="2">'[1]Form Page 4'!#REF!</definedName>
    <definedName name="PD">'[1]Form Page 4'!#REF!</definedName>
    <definedName name="post" localSheetId="2">#REF!</definedName>
    <definedName name="post">#REF!</definedName>
    <definedName name="_xlnm.Print_Area" localSheetId="0">Summary!$A$1:$U$115</definedName>
    <definedName name="_xlnm.Print_Area" localSheetId="3">Tuition!$H$198:$S$257</definedName>
    <definedName name="Print_Area_MI" localSheetId="2">#REF!</definedName>
    <definedName name="Print_Area_MI">#REF!</definedName>
    <definedName name="Print_Titles_MI" localSheetId="2">#REF!</definedName>
    <definedName name="Print_Titles_MI">#REF!</definedName>
    <definedName name="Project2_Comments" localSheetId="1">#REF!</definedName>
    <definedName name="Project2_Comments" localSheetId="2">#REF!</definedName>
    <definedName name="Project2_Comments">#REF!</definedName>
    <definedName name="Project3_Budget" localSheetId="1">#REF!</definedName>
    <definedName name="Project3_Budget" localSheetId="2">#REF!</definedName>
    <definedName name="Project3_Budget">#REF!</definedName>
    <definedName name="Project3_Comments" localSheetId="1">#REF!</definedName>
    <definedName name="Project3_Comments" localSheetId="2">#REF!</definedName>
    <definedName name="Project3_Comments">#REF!</definedName>
    <definedName name="Project4_Budget" localSheetId="1">#REF!</definedName>
    <definedName name="Project4_Budget" localSheetId="2">#REF!</definedName>
    <definedName name="Project4_Budget">#REF!</definedName>
    <definedName name="Project4_Comments" localSheetId="1">#REF!</definedName>
    <definedName name="Project4_Comments" localSheetId="2">#REF!</definedName>
    <definedName name="Project4_Comments">#REF!</definedName>
    <definedName name="Project5_Budget" localSheetId="1">#REF!</definedName>
    <definedName name="Project5_Budget" localSheetId="2">#REF!</definedName>
    <definedName name="Project5_Budget">#REF!</definedName>
    <definedName name="Project5_Comments" localSheetId="1">#REF!</definedName>
    <definedName name="Project5_Comments" localSheetId="2">#REF!</definedName>
    <definedName name="Project5_Comments">#REF!</definedName>
    <definedName name="PRSALARY" localSheetId="2" function="1" xlm="1">#REF!</definedName>
    <definedName name="PRSALARY" function="1" xlm="1">#REF!</definedName>
    <definedName name="ps" localSheetId="2">#REF!</definedName>
    <definedName name="ps">#REF!</definedName>
    <definedName name="TFF_TDC">Summary!$U$6</definedName>
    <definedName name="ug" localSheetId="2">#REF!</definedName>
    <definedName name="ug">#REF!</definedName>
    <definedName name="years">'[2]Start here'!$I$10</definedName>
    <definedName name="Yr1TravelDom">Travel!$M$11</definedName>
    <definedName name="Yr1TravelIntl">Travel!$M$38</definedName>
    <definedName name="Yr2TravelDom">Travel!$M$15</definedName>
    <definedName name="Yr2TravelIntl">Travel!$M$42</definedName>
    <definedName name="Yr3TravelDom">Travel!$M$19</definedName>
    <definedName name="Yr3TravelIntl">Travel!$M$46</definedName>
    <definedName name="Yr4TravelDom">Travel!$M$23</definedName>
    <definedName name="Yr4TravelIntl">Travel!$M$50</definedName>
    <definedName name="Yr5TravelDom">Travel!$M$27</definedName>
    <definedName name="Yr5TravelIntl">Travel!$M$54</definedName>
  </definedName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X19" i="2" l="1"/>
  <c r="Y19" i="2"/>
  <c r="Z19" i="2"/>
  <c r="AB19" i="2"/>
  <c r="AC19" i="2"/>
  <c r="W19" i="2"/>
  <c r="AA14" i="2"/>
  <c r="AA18" i="2"/>
  <c r="AA16" i="2"/>
  <c r="AA17" i="2"/>
  <c r="AA15" i="2"/>
  <c r="AA19" i="2" l="1"/>
  <c r="J96" i="2"/>
  <c r="J83" i="2"/>
  <c r="J85" i="2"/>
  <c r="J81" i="2"/>
  <c r="K9" i="9"/>
  <c r="K13" i="9" s="1"/>
  <c r="H8" i="9"/>
  <c r="H13" i="9"/>
  <c r="H12" i="9"/>
  <c r="H9" i="9"/>
  <c r="H14" i="9"/>
  <c r="H10" i="9"/>
  <c r="H34" i="2" l="1"/>
  <c r="J34" i="2" s="1"/>
  <c r="H33" i="2"/>
  <c r="J33" i="2" s="1"/>
  <c r="J58" i="2" s="1"/>
  <c r="J97" i="2"/>
  <c r="L97" i="2" s="1"/>
  <c r="D106" i="2"/>
  <c r="I55" i="2"/>
  <c r="K240" i="3"/>
  <c r="M240" i="3"/>
  <c r="O240" i="3"/>
  <c r="Q240" i="3"/>
  <c r="K231" i="3"/>
  <c r="M231" i="3"/>
  <c r="O231" i="3"/>
  <c r="Q231" i="3"/>
  <c r="K210" i="3"/>
  <c r="M210" i="3"/>
  <c r="O210" i="3"/>
  <c r="Q210" i="3"/>
  <c r="K201" i="3"/>
  <c r="M201" i="3"/>
  <c r="O201" i="3"/>
  <c r="Q201" i="3"/>
  <c r="K180" i="3"/>
  <c r="M180" i="3"/>
  <c r="O180" i="3"/>
  <c r="Q180" i="3"/>
  <c r="K171" i="3"/>
  <c r="M171" i="3"/>
  <c r="O171" i="3"/>
  <c r="Q171" i="3"/>
  <c r="J59" i="2" l="1"/>
  <c r="L34" i="2"/>
  <c r="L33" i="2"/>
  <c r="L58" i="2" s="1"/>
  <c r="K150" i="3"/>
  <c r="M150" i="3"/>
  <c r="O150" i="3"/>
  <c r="Q150" i="3"/>
  <c r="K141" i="3"/>
  <c r="M141" i="3"/>
  <c r="O141" i="3" l="1"/>
  <c r="Q141" i="3"/>
  <c r="K120" i="3" l="1"/>
  <c r="M120" i="3"/>
  <c r="O120" i="3"/>
  <c r="Q120" i="3"/>
  <c r="K111" i="3" l="1"/>
  <c r="K112" i="3" s="1"/>
  <c r="K113" i="3" s="1"/>
  <c r="K114" i="3" s="1"/>
  <c r="K115" i="3" s="1"/>
  <c r="K116" i="3" s="1"/>
  <c r="K117" i="3" s="1"/>
  <c r="K118" i="3" s="1"/>
  <c r="M111" i="3"/>
  <c r="O111" i="3"/>
  <c r="Q111" i="3"/>
  <c r="Q112" i="3" s="1"/>
  <c r="W124" i="3"/>
  <c r="W125" i="3" s="1"/>
  <c r="W126" i="3" s="1"/>
  <c r="W127" i="3" s="1"/>
  <c r="W128" i="3" s="1"/>
  <c r="W129" i="3" s="1"/>
  <c r="W130" i="3" s="1"/>
  <c r="W131" i="3" s="1"/>
  <c r="W132" i="3" s="1"/>
  <c r="V124" i="3"/>
  <c r="V125" i="3" s="1"/>
  <c r="V126" i="3" s="1"/>
  <c r="V127" i="3" s="1"/>
  <c r="V128" i="3" s="1"/>
  <c r="V129" i="3" s="1"/>
  <c r="V130" i="3" s="1"/>
  <c r="V131" i="3" s="1"/>
  <c r="V132" i="3" s="1"/>
  <c r="U115" i="3"/>
  <c r="U116" i="3"/>
  <c r="U117" i="3"/>
  <c r="U118" i="3"/>
  <c r="U119" i="3"/>
  <c r="K219" i="3" l="1"/>
  <c r="M219" i="3"/>
  <c r="O219" i="3"/>
  <c r="O220" i="3" s="1"/>
  <c r="O221" i="3" s="1"/>
  <c r="O222" i="3" s="1"/>
  <c r="O223" i="3" s="1"/>
  <c r="O224" i="3" s="1"/>
  <c r="O225" i="3" s="1"/>
  <c r="O226" i="3" s="1"/>
  <c r="Q219" i="3"/>
  <c r="Q220" i="3" s="1"/>
  <c r="Q221" i="3" s="1"/>
  <c r="Q222" i="3" s="1"/>
  <c r="Q223" i="3" s="1"/>
  <c r="Q224" i="3" s="1"/>
  <c r="Q225" i="3" s="1"/>
  <c r="Q226" i="3" s="1"/>
  <c r="K249" i="3"/>
  <c r="M249" i="3"/>
  <c r="M250" i="3" s="1"/>
  <c r="M251" i="3" s="1"/>
  <c r="M252" i="3" s="1"/>
  <c r="M253" i="3" s="1"/>
  <c r="M254" i="3" s="1"/>
  <c r="M255" i="3" s="1"/>
  <c r="M256" i="3" s="1"/>
  <c r="O249" i="3"/>
  <c r="O250" i="3" s="1"/>
  <c r="O251" i="3" s="1"/>
  <c r="O252" i="3" s="1"/>
  <c r="O253" i="3" s="1"/>
  <c r="O254" i="3" s="1"/>
  <c r="O255" i="3" s="1"/>
  <c r="O256" i="3" s="1"/>
  <c r="Q249" i="3"/>
  <c r="K159" i="3"/>
  <c r="O159" i="3"/>
  <c r="M159" i="3"/>
  <c r="Q159" i="3"/>
  <c r="K189" i="3"/>
  <c r="K190" i="3" s="1"/>
  <c r="K191" i="3" s="1"/>
  <c r="K192" i="3" s="1"/>
  <c r="K193" i="3" s="1"/>
  <c r="K194" i="3" s="1"/>
  <c r="K195" i="3" s="1"/>
  <c r="K196" i="3" s="1"/>
  <c r="M189" i="3"/>
  <c r="M190" i="3" s="1"/>
  <c r="M191" i="3" s="1"/>
  <c r="M192" i="3" s="1"/>
  <c r="M193" i="3" s="1"/>
  <c r="M194" i="3" s="1"/>
  <c r="M195" i="3" s="1"/>
  <c r="M196" i="3" s="1"/>
  <c r="O189" i="3"/>
  <c r="O190" i="3" s="1"/>
  <c r="O191" i="3" s="1"/>
  <c r="O192" i="3" s="1"/>
  <c r="O193" i="3" s="1"/>
  <c r="O194" i="3" s="1"/>
  <c r="O195" i="3" s="1"/>
  <c r="O196" i="3" s="1"/>
  <c r="Q189" i="3"/>
  <c r="Q190" i="3" s="1"/>
  <c r="Q191" i="3" s="1"/>
  <c r="Q192" i="3" s="1"/>
  <c r="Q193" i="3" s="1"/>
  <c r="Q194" i="3" s="1"/>
  <c r="Q195" i="3" s="1"/>
  <c r="Q196" i="3" s="1"/>
  <c r="K129" i="3"/>
  <c r="K130" i="3" s="1"/>
  <c r="K131" i="3" s="1"/>
  <c r="K132" i="3" s="1"/>
  <c r="K133" i="3" s="1"/>
  <c r="K134" i="3" s="1"/>
  <c r="K135" i="3" s="1"/>
  <c r="K136" i="3" s="1"/>
  <c r="O129" i="3"/>
  <c r="O130" i="3" s="1"/>
  <c r="O131" i="3" s="1"/>
  <c r="O132" i="3" s="1"/>
  <c r="O133" i="3" s="1"/>
  <c r="O134" i="3" s="1"/>
  <c r="O135" i="3" s="1"/>
  <c r="O136" i="3" s="1"/>
  <c r="Q129" i="3"/>
  <c r="Q130" i="3" s="1"/>
  <c r="Q131" i="3" s="1"/>
  <c r="Q132" i="3" s="1"/>
  <c r="Q133" i="3" s="1"/>
  <c r="Q134" i="3" s="1"/>
  <c r="Q135" i="3" s="1"/>
  <c r="Q136" i="3" s="1"/>
  <c r="M129" i="3"/>
  <c r="M130" i="3" s="1"/>
  <c r="M131" i="3" s="1"/>
  <c r="M132" i="3" s="1"/>
  <c r="M133" i="3" s="1"/>
  <c r="M134" i="3" s="1"/>
  <c r="M135" i="3" s="1"/>
  <c r="M136" i="3" s="1"/>
  <c r="Q250" i="3"/>
  <c r="Q251" i="3" s="1"/>
  <c r="Q252" i="3" s="1"/>
  <c r="Q253" i="3" s="1"/>
  <c r="Q254" i="3" s="1"/>
  <c r="Q255" i="3" s="1"/>
  <c r="Q256" i="3" s="1"/>
  <c r="K250" i="3"/>
  <c r="K251" i="3" s="1"/>
  <c r="K252" i="3" s="1"/>
  <c r="K253" i="3" s="1"/>
  <c r="K254" i="3" s="1"/>
  <c r="K255" i="3" s="1"/>
  <c r="K256" i="3" s="1"/>
  <c r="Q241" i="3"/>
  <c r="Q242" i="3" s="1"/>
  <c r="Q243" i="3" s="1"/>
  <c r="Q244" i="3" s="1"/>
  <c r="Q245" i="3" s="1"/>
  <c r="Q246" i="3" s="1"/>
  <c r="Q247" i="3" s="1"/>
  <c r="O241" i="3"/>
  <c r="O242" i="3" s="1"/>
  <c r="O243" i="3" s="1"/>
  <c r="O244" i="3" s="1"/>
  <c r="O245" i="3" s="1"/>
  <c r="O246" i="3" s="1"/>
  <c r="O247" i="3" s="1"/>
  <c r="M241" i="3"/>
  <c r="M242" i="3" s="1"/>
  <c r="M243" i="3" s="1"/>
  <c r="M244" i="3" s="1"/>
  <c r="M245" i="3" s="1"/>
  <c r="M246" i="3" s="1"/>
  <c r="M247" i="3" s="1"/>
  <c r="K241" i="3"/>
  <c r="K242" i="3" s="1"/>
  <c r="K243" i="3" s="1"/>
  <c r="K244" i="3" s="1"/>
  <c r="K245" i="3" s="1"/>
  <c r="K246" i="3" s="1"/>
  <c r="K247" i="3" s="1"/>
  <c r="Q232" i="3"/>
  <c r="O232" i="3"/>
  <c r="M232" i="3"/>
  <c r="K232" i="3"/>
  <c r="K233" i="3" s="1"/>
  <c r="K234" i="3" s="1"/>
  <c r="K235" i="3" s="1"/>
  <c r="K236" i="3" s="1"/>
  <c r="K237" i="3" s="1"/>
  <c r="K238" i="3" s="1"/>
  <c r="M220" i="3"/>
  <c r="M221" i="3" s="1"/>
  <c r="M222" i="3" s="1"/>
  <c r="M223" i="3" s="1"/>
  <c r="M224" i="3" s="1"/>
  <c r="M225" i="3" s="1"/>
  <c r="M226" i="3" s="1"/>
  <c r="K220" i="3"/>
  <c r="K221" i="3" s="1"/>
  <c r="K222" i="3" s="1"/>
  <c r="K223" i="3" s="1"/>
  <c r="K224" i="3" s="1"/>
  <c r="K225" i="3" s="1"/>
  <c r="K226" i="3" s="1"/>
  <c r="Q211" i="3"/>
  <c r="Q212" i="3" s="1"/>
  <c r="Q213" i="3" s="1"/>
  <c r="Q214" i="3" s="1"/>
  <c r="Q215" i="3" s="1"/>
  <c r="Q216" i="3" s="1"/>
  <c r="Q217" i="3" s="1"/>
  <c r="O211" i="3"/>
  <c r="O212" i="3" s="1"/>
  <c r="O213" i="3" s="1"/>
  <c r="O214" i="3" s="1"/>
  <c r="O215" i="3" s="1"/>
  <c r="O216" i="3" s="1"/>
  <c r="O217" i="3" s="1"/>
  <c r="M211" i="3"/>
  <c r="M212" i="3" s="1"/>
  <c r="M213" i="3" s="1"/>
  <c r="M214" i="3" s="1"/>
  <c r="M215" i="3" s="1"/>
  <c r="M216" i="3" s="1"/>
  <c r="M217" i="3" s="1"/>
  <c r="K211" i="3"/>
  <c r="K212" i="3" s="1"/>
  <c r="K213" i="3" s="1"/>
  <c r="K214" i="3" s="1"/>
  <c r="K215" i="3" s="1"/>
  <c r="K216" i="3" s="1"/>
  <c r="K217" i="3" s="1"/>
  <c r="Q202" i="3"/>
  <c r="Q203" i="3" s="1"/>
  <c r="Q204" i="3" s="1"/>
  <c r="Q205" i="3" s="1"/>
  <c r="Q206" i="3" s="1"/>
  <c r="Q207" i="3" s="1"/>
  <c r="Q208" i="3" s="1"/>
  <c r="O202" i="3"/>
  <c r="O203" i="3" s="1"/>
  <c r="O204" i="3" s="1"/>
  <c r="O205" i="3" s="1"/>
  <c r="O206" i="3" s="1"/>
  <c r="O207" i="3" s="1"/>
  <c r="O208" i="3" s="1"/>
  <c r="M202" i="3"/>
  <c r="M203" i="3" s="1"/>
  <c r="M204" i="3" s="1"/>
  <c r="M205" i="3" s="1"/>
  <c r="M206" i="3" s="1"/>
  <c r="M207" i="3" s="1"/>
  <c r="M208" i="3" s="1"/>
  <c r="K202" i="3"/>
  <c r="K203" i="3" s="1"/>
  <c r="K204" i="3" s="1"/>
  <c r="K205" i="3" s="1"/>
  <c r="K206" i="3" s="1"/>
  <c r="K207" i="3" s="1"/>
  <c r="K208" i="3" s="1"/>
  <c r="Q181" i="3"/>
  <c r="Q182" i="3" s="1"/>
  <c r="Q183" i="3" s="1"/>
  <c r="Q184" i="3" s="1"/>
  <c r="Q185" i="3" s="1"/>
  <c r="Q186" i="3" s="1"/>
  <c r="Q187" i="3" s="1"/>
  <c r="O181" i="3"/>
  <c r="O182" i="3" s="1"/>
  <c r="O183" i="3" s="1"/>
  <c r="O184" i="3" s="1"/>
  <c r="O185" i="3" s="1"/>
  <c r="O186" i="3" s="1"/>
  <c r="O187" i="3" s="1"/>
  <c r="M181" i="3"/>
  <c r="M182" i="3" s="1"/>
  <c r="M183" i="3" s="1"/>
  <c r="M184" i="3" s="1"/>
  <c r="M185" i="3" s="1"/>
  <c r="M186" i="3" s="1"/>
  <c r="M187" i="3" s="1"/>
  <c r="K181" i="3"/>
  <c r="K182" i="3" s="1"/>
  <c r="K183" i="3" s="1"/>
  <c r="K184" i="3" s="1"/>
  <c r="K185" i="3" s="1"/>
  <c r="K186" i="3" s="1"/>
  <c r="K187" i="3" s="1"/>
  <c r="Q172" i="3"/>
  <c r="Q173" i="3" s="1"/>
  <c r="Q174" i="3" s="1"/>
  <c r="Q175" i="3" s="1"/>
  <c r="Q176" i="3" s="1"/>
  <c r="Q177" i="3" s="1"/>
  <c r="Q178" i="3" s="1"/>
  <c r="O172" i="3"/>
  <c r="O173" i="3" s="1"/>
  <c r="O174" i="3" s="1"/>
  <c r="O175" i="3" s="1"/>
  <c r="O176" i="3" s="1"/>
  <c r="O177" i="3" s="1"/>
  <c r="O178" i="3" s="1"/>
  <c r="M172" i="3"/>
  <c r="M173" i="3" s="1"/>
  <c r="M174" i="3" s="1"/>
  <c r="M175" i="3" s="1"/>
  <c r="M176" i="3" s="1"/>
  <c r="M177" i="3" s="1"/>
  <c r="M178" i="3" s="1"/>
  <c r="K172" i="3"/>
  <c r="K173" i="3" s="1"/>
  <c r="K174" i="3" s="1"/>
  <c r="K175" i="3" s="1"/>
  <c r="K176" i="3" s="1"/>
  <c r="K177" i="3" s="1"/>
  <c r="K178" i="3" s="1"/>
  <c r="Q160" i="3"/>
  <c r="Q161" i="3" s="1"/>
  <c r="Q162" i="3" s="1"/>
  <c r="Q163" i="3" s="1"/>
  <c r="Q164" i="3" s="1"/>
  <c r="Q165" i="3" s="1"/>
  <c r="Q166" i="3" s="1"/>
  <c r="O160" i="3"/>
  <c r="O161" i="3" s="1"/>
  <c r="O162" i="3" s="1"/>
  <c r="O163" i="3" s="1"/>
  <c r="O164" i="3" s="1"/>
  <c r="O165" i="3" s="1"/>
  <c r="O166" i="3" s="1"/>
  <c r="M160" i="3"/>
  <c r="M161" i="3" s="1"/>
  <c r="M162" i="3" s="1"/>
  <c r="M163" i="3" s="1"/>
  <c r="M164" i="3" s="1"/>
  <c r="M165" i="3" s="1"/>
  <c r="M166" i="3" s="1"/>
  <c r="K160" i="3"/>
  <c r="K161" i="3" s="1"/>
  <c r="K162" i="3" s="1"/>
  <c r="K163" i="3" s="1"/>
  <c r="K164" i="3" s="1"/>
  <c r="K165" i="3" s="1"/>
  <c r="K166" i="3" s="1"/>
  <c r="Q151" i="3"/>
  <c r="Q152" i="3" s="1"/>
  <c r="Q153" i="3" s="1"/>
  <c r="Q154" i="3" s="1"/>
  <c r="Q155" i="3" s="1"/>
  <c r="Q156" i="3" s="1"/>
  <c r="Q157" i="3" s="1"/>
  <c r="O151" i="3"/>
  <c r="O152" i="3" s="1"/>
  <c r="O153" i="3" s="1"/>
  <c r="O154" i="3" s="1"/>
  <c r="O155" i="3" s="1"/>
  <c r="O156" i="3" s="1"/>
  <c r="O157" i="3" s="1"/>
  <c r="M151" i="3"/>
  <c r="M152" i="3" s="1"/>
  <c r="M153" i="3" s="1"/>
  <c r="M154" i="3" s="1"/>
  <c r="M155" i="3" s="1"/>
  <c r="M156" i="3" s="1"/>
  <c r="M157" i="3" s="1"/>
  <c r="K151" i="3"/>
  <c r="K152" i="3" s="1"/>
  <c r="K153" i="3" s="1"/>
  <c r="K154" i="3" s="1"/>
  <c r="K155" i="3" s="1"/>
  <c r="K156" i="3" s="1"/>
  <c r="K157" i="3" s="1"/>
  <c r="Q142" i="3"/>
  <c r="Q143" i="3" s="1"/>
  <c r="Q144" i="3" s="1"/>
  <c r="Q145" i="3" s="1"/>
  <c r="Q146" i="3" s="1"/>
  <c r="Q147" i="3" s="1"/>
  <c r="Q148" i="3" s="1"/>
  <c r="O142" i="3"/>
  <c r="O143" i="3" s="1"/>
  <c r="O144" i="3" s="1"/>
  <c r="O145" i="3" s="1"/>
  <c r="O146" i="3" s="1"/>
  <c r="O147" i="3" s="1"/>
  <c r="O148" i="3" s="1"/>
  <c r="M142" i="3"/>
  <c r="M143" i="3" s="1"/>
  <c r="M144" i="3" s="1"/>
  <c r="M145" i="3" s="1"/>
  <c r="M146" i="3" s="1"/>
  <c r="M147" i="3" s="1"/>
  <c r="M148" i="3" s="1"/>
  <c r="K142" i="3"/>
  <c r="K143" i="3" s="1"/>
  <c r="K144" i="3" s="1"/>
  <c r="K145" i="3" s="1"/>
  <c r="K146" i="3" s="1"/>
  <c r="K147" i="3" s="1"/>
  <c r="K148" i="3" s="1"/>
  <c r="Q121" i="3"/>
  <c r="Q122" i="3" s="1"/>
  <c r="Q123" i="3" s="1"/>
  <c r="Q124" i="3" s="1"/>
  <c r="Q125" i="3" s="1"/>
  <c r="Q126" i="3" s="1"/>
  <c r="Q127" i="3" s="1"/>
  <c r="O121" i="3"/>
  <c r="O122" i="3" s="1"/>
  <c r="O123" i="3" s="1"/>
  <c r="O124" i="3" s="1"/>
  <c r="O125" i="3" s="1"/>
  <c r="O126" i="3" s="1"/>
  <c r="O127" i="3" s="1"/>
  <c r="M121" i="3"/>
  <c r="M122" i="3" s="1"/>
  <c r="M123" i="3" s="1"/>
  <c r="M124" i="3" s="1"/>
  <c r="M125" i="3" s="1"/>
  <c r="M126" i="3" s="1"/>
  <c r="M127" i="3" s="1"/>
  <c r="K121" i="3"/>
  <c r="K122" i="3" s="1"/>
  <c r="K123" i="3" s="1"/>
  <c r="K124" i="3" s="1"/>
  <c r="K125" i="3" s="1"/>
  <c r="K126" i="3" s="1"/>
  <c r="K127" i="3" s="1"/>
  <c r="Q113" i="3"/>
  <c r="Q114" i="3" s="1"/>
  <c r="Q115" i="3" s="1"/>
  <c r="Q116" i="3" s="1"/>
  <c r="Q117" i="3" s="1"/>
  <c r="Q118" i="3" s="1"/>
  <c r="O112" i="3"/>
  <c r="O113" i="3" s="1"/>
  <c r="O114" i="3" s="1"/>
  <c r="O115" i="3" s="1"/>
  <c r="O116" i="3" s="1"/>
  <c r="O117" i="3" s="1"/>
  <c r="O118" i="3" s="1"/>
  <c r="M112" i="3"/>
  <c r="M113" i="3" s="1"/>
  <c r="M114" i="3" s="1"/>
  <c r="M115" i="3" s="1"/>
  <c r="M116" i="3" s="1"/>
  <c r="M117" i="3" s="1"/>
  <c r="M118" i="3" s="1"/>
  <c r="Q233" i="3" l="1"/>
  <c r="Q234" i="3" s="1"/>
  <c r="Q235" i="3" s="1"/>
  <c r="Q236" i="3" s="1"/>
  <c r="Q237" i="3" s="1"/>
  <c r="Q238" i="3" s="1"/>
  <c r="O233" i="3"/>
  <c r="O234" i="3" s="1"/>
  <c r="O235" i="3" s="1"/>
  <c r="O236" i="3" s="1"/>
  <c r="O237" i="3" s="1"/>
  <c r="O238" i="3" s="1"/>
  <c r="M233" i="3"/>
  <c r="M234" i="3" s="1"/>
  <c r="M235" i="3" s="1"/>
  <c r="M236" i="3" s="1"/>
  <c r="M237" i="3" l="1"/>
  <c r="M238" i="3" s="1"/>
  <c r="H32" i="2"/>
  <c r="J32" i="2" s="1"/>
  <c r="J57" i="2" s="1"/>
  <c r="I48" i="2"/>
  <c r="H21" i="2"/>
  <c r="H48" i="2" s="1"/>
  <c r="F41" i="9"/>
  <c r="F45" i="9"/>
  <c r="G45" i="9" s="1"/>
  <c r="F40" i="9"/>
  <c r="G40" i="9" s="1"/>
  <c r="F44" i="9"/>
  <c r="G44" i="9" s="1"/>
  <c r="F48" i="9"/>
  <c r="G48" i="9" s="1"/>
  <c r="F52" i="9"/>
  <c r="G52" i="9" s="1"/>
  <c r="F39" i="9"/>
  <c r="G39" i="9" s="1"/>
  <c r="F43" i="9"/>
  <c r="G43" i="9" s="1"/>
  <c r="G41" i="9"/>
  <c r="D41" i="9"/>
  <c r="D45" i="9"/>
  <c r="M45" i="9" s="1"/>
  <c r="D49" i="9"/>
  <c r="D53" i="9" s="1"/>
  <c r="D40" i="9"/>
  <c r="D44" i="9"/>
  <c r="D48" i="9"/>
  <c r="D52" i="9" s="1"/>
  <c r="D39" i="9"/>
  <c r="M39" i="9" s="1"/>
  <c r="D43" i="9"/>
  <c r="D47" i="9" s="1"/>
  <c r="F14" i="9"/>
  <c r="G14" i="9" s="1"/>
  <c r="F18" i="9"/>
  <c r="F22" i="9" s="1"/>
  <c r="F13" i="9"/>
  <c r="G13" i="9" s="1"/>
  <c r="F12" i="9"/>
  <c r="G12" i="9" s="1"/>
  <c r="D14" i="9"/>
  <c r="D18" i="9" s="1"/>
  <c r="D22" i="9" s="1"/>
  <c r="D26" i="9" s="1"/>
  <c r="D13" i="9"/>
  <c r="D17" i="9"/>
  <c r="D21" i="9" s="1"/>
  <c r="D25" i="9" s="1"/>
  <c r="D12" i="9"/>
  <c r="D16" i="9" s="1"/>
  <c r="D20" i="9" s="1"/>
  <c r="H53" i="9"/>
  <c r="J53" i="9" s="1"/>
  <c r="H52" i="9"/>
  <c r="J52" i="9" s="1"/>
  <c r="H51" i="9"/>
  <c r="J51" i="9" s="1"/>
  <c r="H49" i="9"/>
  <c r="J49" i="9" s="1"/>
  <c r="H48" i="9"/>
  <c r="J48" i="9" s="1"/>
  <c r="H47" i="9"/>
  <c r="J47" i="9"/>
  <c r="H45" i="9"/>
  <c r="J45" i="9"/>
  <c r="H44" i="9"/>
  <c r="J44" i="9"/>
  <c r="H43" i="9"/>
  <c r="J43" i="9"/>
  <c r="H41" i="9"/>
  <c r="J41" i="9" s="1"/>
  <c r="H40" i="9"/>
  <c r="J40" i="9" s="1"/>
  <c r="H39" i="9"/>
  <c r="J39" i="9"/>
  <c r="H37" i="9"/>
  <c r="J37" i="9" s="1"/>
  <c r="G37" i="9"/>
  <c r="H36" i="9"/>
  <c r="J36" i="9" s="1"/>
  <c r="G36" i="9"/>
  <c r="H35" i="9"/>
  <c r="J35" i="9" s="1"/>
  <c r="G35" i="9"/>
  <c r="J8" i="9"/>
  <c r="G8" i="9"/>
  <c r="H26" i="9"/>
  <c r="J26" i="9" s="1"/>
  <c r="H25" i="9"/>
  <c r="J25" i="9" s="1"/>
  <c r="H24" i="9"/>
  <c r="H22" i="9"/>
  <c r="H21" i="9"/>
  <c r="J21" i="9"/>
  <c r="H20" i="9"/>
  <c r="J20" i="9"/>
  <c r="H18" i="9"/>
  <c r="J18" i="9"/>
  <c r="H17" i="9"/>
  <c r="J17" i="9" s="1"/>
  <c r="H16" i="9"/>
  <c r="J16" i="9" s="1"/>
  <c r="J10" i="9"/>
  <c r="G10" i="9"/>
  <c r="J9" i="9"/>
  <c r="G9" i="9"/>
  <c r="J24" i="9"/>
  <c r="J22" i="9"/>
  <c r="J14" i="9"/>
  <c r="J13" i="9"/>
  <c r="J12" i="9"/>
  <c r="S111" i="2"/>
  <c r="T111" i="2" s="1"/>
  <c r="S112" i="2"/>
  <c r="T112" i="2" s="1"/>
  <c r="S94" i="2"/>
  <c r="S95" i="2"/>
  <c r="N136" i="2"/>
  <c r="K136" i="2" s="1"/>
  <c r="H4" i="2"/>
  <c r="H15" i="2"/>
  <c r="J15" i="2" s="1"/>
  <c r="E106" i="2"/>
  <c r="C106" i="2"/>
  <c r="R96" i="2"/>
  <c r="H28" i="2"/>
  <c r="J28" i="2" s="1"/>
  <c r="J53" i="2" s="1"/>
  <c r="N11" i="2"/>
  <c r="B47" i="7" s="1"/>
  <c r="P11" i="2"/>
  <c r="B57" i="6" s="1"/>
  <c r="L11" i="2"/>
  <c r="B37" i="6" s="1"/>
  <c r="J11" i="2"/>
  <c r="B27" i="7" s="1"/>
  <c r="H11" i="2"/>
  <c r="B17" i="6" s="1"/>
  <c r="H16" i="2"/>
  <c r="H43" i="2" s="1"/>
  <c r="H17" i="2"/>
  <c r="J17" i="2" s="1"/>
  <c r="L17" i="2" s="1"/>
  <c r="H18" i="2"/>
  <c r="H45" i="2" s="1"/>
  <c r="H19" i="2"/>
  <c r="J19" i="2" s="1"/>
  <c r="H20" i="2"/>
  <c r="H47" i="2" s="1"/>
  <c r="H22" i="2"/>
  <c r="J22" i="2" s="1"/>
  <c r="L22" i="2" s="1"/>
  <c r="H23" i="2"/>
  <c r="J23" i="2" s="1"/>
  <c r="L23" i="2" s="1"/>
  <c r="H26" i="2"/>
  <c r="H51" i="2" s="1"/>
  <c r="H27" i="2"/>
  <c r="J27" i="2" s="1"/>
  <c r="H29" i="2"/>
  <c r="J29" i="2" s="1"/>
  <c r="H30" i="2"/>
  <c r="J30" i="2" s="1"/>
  <c r="J55" i="2" s="1"/>
  <c r="H31" i="2"/>
  <c r="J31" i="2" s="1"/>
  <c r="H58" i="2"/>
  <c r="H59" i="2"/>
  <c r="H35" i="2"/>
  <c r="J35" i="2" s="1"/>
  <c r="H60" i="2"/>
  <c r="H36" i="2"/>
  <c r="H37" i="2"/>
  <c r="J37" i="2" s="1"/>
  <c r="H66" i="2"/>
  <c r="H74" i="2"/>
  <c r="I43" i="2"/>
  <c r="Q25" i="2"/>
  <c r="Q42" i="2"/>
  <c r="Q44" i="2"/>
  <c r="Q45" i="2"/>
  <c r="Q46" i="2"/>
  <c r="Q47" i="2"/>
  <c r="Q48" i="2"/>
  <c r="Q49" i="2"/>
  <c r="Q50" i="2"/>
  <c r="Q51" i="2"/>
  <c r="Q52" i="2"/>
  <c r="Q53" i="2"/>
  <c r="Q54" i="2"/>
  <c r="Q55" i="2"/>
  <c r="Q56" i="2"/>
  <c r="Q57" i="2"/>
  <c r="Q58" i="2"/>
  <c r="Q59" i="2"/>
  <c r="Q60" i="2"/>
  <c r="Q61" i="2"/>
  <c r="Q62" i="2"/>
  <c r="Q66" i="2"/>
  <c r="Q70" i="2"/>
  <c r="Q74" i="2"/>
  <c r="Q80" i="2"/>
  <c r="P66" i="2"/>
  <c r="P74" i="2"/>
  <c r="O25" i="2"/>
  <c r="O42" i="2"/>
  <c r="O44" i="2"/>
  <c r="O45" i="2"/>
  <c r="O46" i="2"/>
  <c r="O47" i="2"/>
  <c r="O48" i="2"/>
  <c r="O49" i="2"/>
  <c r="O50" i="2"/>
  <c r="O51" i="2"/>
  <c r="O52" i="2"/>
  <c r="O53" i="2"/>
  <c r="O54" i="2"/>
  <c r="O55" i="2"/>
  <c r="O56" i="2"/>
  <c r="O57" i="2"/>
  <c r="O58" i="2"/>
  <c r="O59" i="2"/>
  <c r="O60" i="2"/>
  <c r="O61" i="2"/>
  <c r="O62" i="2"/>
  <c r="O66" i="2"/>
  <c r="O70" i="2"/>
  <c r="O74" i="2"/>
  <c r="O80" i="2"/>
  <c r="N66" i="2"/>
  <c r="N74" i="2"/>
  <c r="M25" i="2"/>
  <c r="M42" i="2"/>
  <c r="M44" i="2"/>
  <c r="M45" i="2"/>
  <c r="M46" i="2"/>
  <c r="M47" i="2"/>
  <c r="M48" i="2"/>
  <c r="M49" i="2"/>
  <c r="M50" i="2"/>
  <c r="M51" i="2"/>
  <c r="M52" i="2"/>
  <c r="M53" i="2"/>
  <c r="M54" i="2"/>
  <c r="M55" i="2"/>
  <c r="M56" i="2"/>
  <c r="M57" i="2"/>
  <c r="M58" i="2"/>
  <c r="M59" i="2"/>
  <c r="M60" i="2"/>
  <c r="M61" i="2"/>
  <c r="M62" i="2"/>
  <c r="M66" i="2"/>
  <c r="M70" i="2"/>
  <c r="M74" i="2"/>
  <c r="M80" i="2"/>
  <c r="L66" i="2"/>
  <c r="L74" i="2"/>
  <c r="K25" i="2"/>
  <c r="K42" i="2"/>
  <c r="K44" i="2"/>
  <c r="K45" i="2"/>
  <c r="K46" i="2"/>
  <c r="K47" i="2"/>
  <c r="K48" i="2"/>
  <c r="K49" i="2"/>
  <c r="K50" i="2"/>
  <c r="K51" i="2"/>
  <c r="K52" i="2"/>
  <c r="K53" i="2"/>
  <c r="K54" i="2"/>
  <c r="K55" i="2"/>
  <c r="K56" i="2"/>
  <c r="K57" i="2"/>
  <c r="K58" i="2"/>
  <c r="K59" i="2"/>
  <c r="K60" i="2"/>
  <c r="K61" i="2"/>
  <c r="K62" i="2"/>
  <c r="K66" i="2"/>
  <c r="K70" i="2"/>
  <c r="K74" i="2"/>
  <c r="K80" i="2"/>
  <c r="I14" i="2"/>
  <c r="I25" i="2"/>
  <c r="I42" i="2"/>
  <c r="I44" i="2"/>
  <c r="I45" i="2"/>
  <c r="I46" i="2"/>
  <c r="I47" i="2"/>
  <c r="I49" i="2"/>
  <c r="I50" i="2"/>
  <c r="I51" i="2"/>
  <c r="I52" i="2"/>
  <c r="I53" i="2"/>
  <c r="I54" i="2"/>
  <c r="I56" i="2"/>
  <c r="I57" i="2"/>
  <c r="I58" i="2"/>
  <c r="I59" i="2"/>
  <c r="I61" i="2"/>
  <c r="I62" i="2"/>
  <c r="I66" i="2"/>
  <c r="I70" i="2"/>
  <c r="I74" i="2"/>
  <c r="I80" i="2"/>
  <c r="J66" i="2"/>
  <c r="J74" i="2"/>
  <c r="D72" i="7"/>
  <c r="D82" i="7"/>
  <c r="H81" i="7"/>
  <c r="F81" i="7"/>
  <c r="G81" i="7" s="1"/>
  <c r="H80" i="7"/>
  <c r="F80" i="7"/>
  <c r="G80" i="7" s="1"/>
  <c r="H79" i="7"/>
  <c r="F79" i="7"/>
  <c r="G79" i="7" s="1"/>
  <c r="H78" i="7"/>
  <c r="H77" i="7"/>
  <c r="H82" i="7"/>
  <c r="F78" i="7"/>
  <c r="G78" i="7" s="1"/>
  <c r="F77" i="7"/>
  <c r="C77" i="7"/>
  <c r="H71" i="7"/>
  <c r="F71" i="7"/>
  <c r="H70" i="7"/>
  <c r="F70" i="7"/>
  <c r="H69" i="7"/>
  <c r="F69" i="7"/>
  <c r="H68" i="7"/>
  <c r="F68" i="7"/>
  <c r="G68" i="7" s="1"/>
  <c r="H67" i="7"/>
  <c r="H72" i="7"/>
  <c r="F67" i="7"/>
  <c r="C67" i="7"/>
  <c r="C67" i="6"/>
  <c r="F67" i="6"/>
  <c r="F68" i="6"/>
  <c r="G68" i="6" s="1"/>
  <c r="F69" i="6"/>
  <c r="F70" i="6"/>
  <c r="G70" i="6" s="1"/>
  <c r="F71" i="6"/>
  <c r="G71" i="6" s="1"/>
  <c r="H67" i="6"/>
  <c r="H72" i="6" s="1"/>
  <c r="H68" i="6"/>
  <c r="H69" i="6"/>
  <c r="H70" i="6"/>
  <c r="H71" i="6"/>
  <c r="D72" i="6"/>
  <c r="C77" i="6"/>
  <c r="F77" i="6"/>
  <c r="G77" i="6" s="1"/>
  <c r="H77" i="6"/>
  <c r="F78" i="6"/>
  <c r="G78" i="6" s="1"/>
  <c r="F79" i="6"/>
  <c r="G79" i="6" s="1"/>
  <c r="F80" i="6"/>
  <c r="F81" i="6"/>
  <c r="G81" i="6" s="1"/>
  <c r="H78" i="6"/>
  <c r="H79" i="6"/>
  <c r="H80" i="6"/>
  <c r="H81" i="6"/>
  <c r="H82" i="6"/>
  <c r="D82" i="6"/>
  <c r="S86" i="2"/>
  <c r="R86" i="2"/>
  <c r="T86" i="2" s="1"/>
  <c r="S83" i="2"/>
  <c r="R83" i="2"/>
  <c r="T83" i="2" s="1"/>
  <c r="S93" i="2"/>
  <c r="S97" i="2"/>
  <c r="S96" i="2"/>
  <c r="S92" i="2"/>
  <c r="S91" i="2"/>
  <c r="S90" i="2"/>
  <c r="S89" i="2"/>
  <c r="S88" i="2"/>
  <c r="S87" i="2"/>
  <c r="S85" i="2"/>
  <c r="S84" i="2"/>
  <c r="S82" i="2"/>
  <c r="S81" i="2"/>
  <c r="S78" i="2"/>
  <c r="S77" i="2"/>
  <c r="S76" i="2"/>
  <c r="S75" i="2"/>
  <c r="R75" i="2"/>
  <c r="S72" i="2"/>
  <c r="S71" i="2"/>
  <c r="S68" i="2"/>
  <c r="S67" i="2"/>
  <c r="S37" i="2"/>
  <c r="S36" i="2"/>
  <c r="S35" i="2"/>
  <c r="S34" i="2"/>
  <c r="S33" i="2"/>
  <c r="S32" i="2"/>
  <c r="S31" i="2"/>
  <c r="S30" i="2"/>
  <c r="S29" i="2"/>
  <c r="S28" i="2"/>
  <c r="S27" i="2"/>
  <c r="S26" i="2"/>
  <c r="S23" i="2"/>
  <c r="S22" i="2"/>
  <c r="S21" i="2"/>
  <c r="S20" i="2"/>
  <c r="S19" i="2"/>
  <c r="S18" i="2"/>
  <c r="S17" i="2"/>
  <c r="S15" i="2"/>
  <c r="R97" i="2"/>
  <c r="R90" i="2"/>
  <c r="R89" i="2"/>
  <c r="R88" i="2"/>
  <c r="R87" i="2"/>
  <c r="R85" i="2"/>
  <c r="R84" i="2"/>
  <c r="R82" i="2"/>
  <c r="R81" i="2"/>
  <c r="R78" i="2"/>
  <c r="R77" i="2"/>
  <c r="R76" i="2"/>
  <c r="R68" i="2"/>
  <c r="R67" i="2"/>
  <c r="C57" i="2"/>
  <c r="C58" i="2"/>
  <c r="C59" i="2"/>
  <c r="C60" i="2"/>
  <c r="C61" i="2"/>
  <c r="C62" i="2"/>
  <c r="C55" i="2"/>
  <c r="C54" i="2"/>
  <c r="C52" i="2"/>
  <c r="C51" i="2"/>
  <c r="C50" i="2"/>
  <c r="C49" i="2"/>
  <c r="C48" i="2"/>
  <c r="C47" i="2"/>
  <c r="C46" i="2"/>
  <c r="C45" i="2"/>
  <c r="C53" i="2"/>
  <c r="C42" i="2"/>
  <c r="C43" i="2"/>
  <c r="C44" i="2"/>
  <c r="C56" i="2"/>
  <c r="M43" i="2"/>
  <c r="M14" i="2"/>
  <c r="K14" i="2"/>
  <c r="K43" i="2"/>
  <c r="O14" i="2"/>
  <c r="O43" i="2"/>
  <c r="Q14" i="2"/>
  <c r="Q43" i="2"/>
  <c r="S16" i="2"/>
  <c r="L59" i="2"/>
  <c r="N59" i="2"/>
  <c r="P34" i="2"/>
  <c r="P59" i="2" s="1"/>
  <c r="J26" i="2"/>
  <c r="I107" i="2"/>
  <c r="M107" i="2"/>
  <c r="Q107" i="2"/>
  <c r="D118" i="2"/>
  <c r="K107" i="2"/>
  <c r="D120" i="2"/>
  <c r="D117" i="2"/>
  <c r="O107" i="2"/>
  <c r="M35" i="9" l="1"/>
  <c r="M36" i="9"/>
  <c r="M37" i="9"/>
  <c r="M48" i="9"/>
  <c r="M41" i="9"/>
  <c r="H50" i="2"/>
  <c r="T89" i="2"/>
  <c r="M8" i="9"/>
  <c r="M14" i="9"/>
  <c r="H56" i="2"/>
  <c r="Q39" i="2"/>
  <c r="J21" i="2"/>
  <c r="L21" i="2" s="1"/>
  <c r="L48" i="2" s="1"/>
  <c r="J18" i="2"/>
  <c r="J45" i="2" s="1"/>
  <c r="H49" i="2"/>
  <c r="T67" i="2"/>
  <c r="T75" i="2"/>
  <c r="M44" i="9"/>
  <c r="H44" i="2"/>
  <c r="M40" i="9"/>
  <c r="M42" i="9" s="1"/>
  <c r="J72" i="2" s="1"/>
  <c r="F49" i="9"/>
  <c r="M43" i="9"/>
  <c r="M46" i="9" s="1"/>
  <c r="L72" i="2" s="1"/>
  <c r="H62" i="2"/>
  <c r="J20" i="2"/>
  <c r="L20" i="2" s="1"/>
  <c r="L47" i="2" s="1"/>
  <c r="T84" i="2"/>
  <c r="S61" i="2"/>
  <c r="O39" i="2"/>
  <c r="J16" i="2"/>
  <c r="J43" i="2" s="1"/>
  <c r="S53" i="2"/>
  <c r="T82" i="2"/>
  <c r="T85" i="2"/>
  <c r="T77" i="2"/>
  <c r="T88" i="2"/>
  <c r="M39" i="2"/>
  <c r="T68" i="2"/>
  <c r="R66" i="2"/>
  <c r="T87" i="2"/>
  <c r="S74" i="2"/>
  <c r="L19" i="2"/>
  <c r="L46" i="2" s="1"/>
  <c r="J46" i="2"/>
  <c r="J56" i="2"/>
  <c r="L31" i="2"/>
  <c r="L56" i="2" s="1"/>
  <c r="S52" i="2"/>
  <c r="F72" i="6"/>
  <c r="E67" i="6" s="1"/>
  <c r="I70" i="6" s="1"/>
  <c r="J70" i="6" s="1"/>
  <c r="F72" i="7"/>
  <c r="E67" i="7" s="1"/>
  <c r="I68" i="7" s="1"/>
  <c r="J68" i="7" s="1"/>
  <c r="J62" i="2"/>
  <c r="L37" i="2"/>
  <c r="H46" i="2"/>
  <c r="T76" i="2"/>
  <c r="M10" i="9"/>
  <c r="I71" i="7"/>
  <c r="J71" i="7" s="1"/>
  <c r="J52" i="2"/>
  <c r="L27" i="2"/>
  <c r="H54" i="2"/>
  <c r="F82" i="7"/>
  <c r="E77" i="7" s="1"/>
  <c r="I79" i="7" s="1"/>
  <c r="J79" i="7" s="1"/>
  <c r="H61" i="2"/>
  <c r="J36" i="2"/>
  <c r="J60" i="2"/>
  <c r="L35" i="2"/>
  <c r="J54" i="2"/>
  <c r="L29" i="2"/>
  <c r="S50" i="2"/>
  <c r="T78" i="2"/>
  <c r="H52" i="2"/>
  <c r="F47" i="9"/>
  <c r="T90" i="2"/>
  <c r="J51" i="2"/>
  <c r="L26" i="2"/>
  <c r="M52" i="9"/>
  <c r="M38" i="9"/>
  <c r="H72" i="2" s="1"/>
  <c r="S25" i="2"/>
  <c r="T97" i="2"/>
  <c r="I69" i="6"/>
  <c r="J69" i="6" s="1"/>
  <c r="F16" i="9"/>
  <c r="J42" i="2"/>
  <c r="F17" i="9"/>
  <c r="F21" i="9" s="1"/>
  <c r="G21" i="9" s="1"/>
  <c r="M21" i="9" s="1"/>
  <c r="M13" i="9"/>
  <c r="F25" i="9"/>
  <c r="G25" i="9" s="1"/>
  <c r="M25" i="9"/>
  <c r="G17" i="9"/>
  <c r="M17" i="9" s="1"/>
  <c r="M12" i="9"/>
  <c r="M9" i="9"/>
  <c r="D24" i="9"/>
  <c r="L30" i="2"/>
  <c r="L55" i="2" s="1"/>
  <c r="L57" i="2"/>
  <c r="R59" i="2"/>
  <c r="N53" i="2"/>
  <c r="H53" i="2"/>
  <c r="T81" i="2"/>
  <c r="S14" i="2"/>
  <c r="R34" i="2"/>
  <c r="T34" i="2" s="1"/>
  <c r="I39" i="2"/>
  <c r="S80" i="2"/>
  <c r="S47" i="2"/>
  <c r="S46" i="2"/>
  <c r="S45" i="2"/>
  <c r="S66" i="2"/>
  <c r="S62" i="2"/>
  <c r="R74" i="2"/>
  <c r="S70" i="2"/>
  <c r="S55" i="2"/>
  <c r="H55" i="2"/>
  <c r="T96" i="2"/>
  <c r="H57" i="2"/>
  <c r="J44" i="2"/>
  <c r="D51" i="9"/>
  <c r="F26" i="9"/>
  <c r="G26" i="9" s="1"/>
  <c r="M26" i="9" s="1"/>
  <c r="G22" i="9"/>
  <c r="M22" i="9" s="1"/>
  <c r="G82" i="6"/>
  <c r="J50" i="2"/>
  <c r="J49" i="2"/>
  <c r="G67" i="6"/>
  <c r="G69" i="7"/>
  <c r="S57" i="2"/>
  <c r="S56" i="2"/>
  <c r="G80" i="6"/>
  <c r="G70" i="7"/>
  <c r="S60" i="2"/>
  <c r="S49" i="2"/>
  <c r="S43" i="2"/>
  <c r="G71" i="7"/>
  <c r="G69" i="6"/>
  <c r="F82" i="6"/>
  <c r="E77" i="6" s="1"/>
  <c r="I80" i="6" s="1"/>
  <c r="J80" i="6" s="1"/>
  <c r="K39" i="2"/>
  <c r="G77" i="7"/>
  <c r="G82" i="7" s="1"/>
  <c r="S54" i="2"/>
  <c r="S44" i="2"/>
  <c r="S42" i="2"/>
  <c r="H14" i="2"/>
  <c r="G67" i="7"/>
  <c r="G18" i="9"/>
  <c r="M18" i="9" s="1"/>
  <c r="S59" i="2"/>
  <c r="S58" i="2"/>
  <c r="S48" i="2"/>
  <c r="H25" i="2"/>
  <c r="H42" i="2"/>
  <c r="B17" i="7"/>
  <c r="B57" i="7"/>
  <c r="B27" i="6"/>
  <c r="I11" i="2"/>
  <c r="K11" i="2"/>
  <c r="O11" i="2"/>
  <c r="M11" i="2"/>
  <c r="Q11" i="2"/>
  <c r="B47" i="6"/>
  <c r="B37" i="7"/>
  <c r="M41" i="2"/>
  <c r="M64" i="2" s="1"/>
  <c r="M99" i="2" s="1"/>
  <c r="M102" i="2" s="1"/>
  <c r="D37" i="7" s="1"/>
  <c r="O41" i="2"/>
  <c r="S51" i="2"/>
  <c r="K41" i="2"/>
  <c r="Q41" i="2"/>
  <c r="I41" i="2"/>
  <c r="K47" i="3"/>
  <c r="K46" i="3" s="1"/>
  <c r="H93" i="2" s="1"/>
  <c r="K48" i="3"/>
  <c r="K28" i="3"/>
  <c r="K89" i="3"/>
  <c r="K88" i="3" s="1"/>
  <c r="H95" i="2" s="1"/>
  <c r="S107" i="2"/>
  <c r="T107" i="2" s="1"/>
  <c r="K68" i="3"/>
  <c r="K67" i="3" s="1"/>
  <c r="H94" i="2" s="1"/>
  <c r="L18" i="2" l="1"/>
  <c r="I68" i="6"/>
  <c r="J68" i="6" s="1"/>
  <c r="Q64" i="2"/>
  <c r="Q99" i="2" s="1"/>
  <c r="Q102" i="2" s="1"/>
  <c r="D57" i="7" s="1"/>
  <c r="J48" i="2"/>
  <c r="M11" i="9"/>
  <c r="H71" i="2" s="1"/>
  <c r="I67" i="6"/>
  <c r="J67" i="6" s="1"/>
  <c r="L16" i="2"/>
  <c r="G49" i="9"/>
  <c r="M49" i="9" s="1"/>
  <c r="F53" i="9"/>
  <c r="G53" i="9" s="1"/>
  <c r="M53" i="9" s="1"/>
  <c r="O64" i="2"/>
  <c r="O99" i="2" s="1"/>
  <c r="O100" i="2" s="1"/>
  <c r="I80" i="7"/>
  <c r="J80" i="7" s="1"/>
  <c r="N31" i="2"/>
  <c r="P31" i="2" s="1"/>
  <c r="I81" i="7"/>
  <c r="J81" i="7" s="1"/>
  <c r="I77" i="7"/>
  <c r="N20" i="2"/>
  <c r="P20" i="2" s="1"/>
  <c r="T74" i="2"/>
  <c r="I78" i="7"/>
  <c r="J78" i="7" s="1"/>
  <c r="T66" i="2"/>
  <c r="J47" i="2"/>
  <c r="N19" i="2"/>
  <c r="N46" i="2" s="1"/>
  <c r="N21" i="2"/>
  <c r="N48" i="2" s="1"/>
  <c r="S39" i="2"/>
  <c r="H70" i="2"/>
  <c r="J61" i="2"/>
  <c r="L36" i="2"/>
  <c r="G16" i="9"/>
  <c r="M16" i="9" s="1"/>
  <c r="M19" i="9" s="1"/>
  <c r="F20" i="9"/>
  <c r="G47" i="9"/>
  <c r="M47" i="9" s="1"/>
  <c r="M50" i="9" s="1"/>
  <c r="N72" i="2" s="1"/>
  <c r="F51" i="9"/>
  <c r="G51" i="9" s="1"/>
  <c r="M51" i="9" s="1"/>
  <c r="M54" i="9" s="1"/>
  <c r="P72" i="2" s="1"/>
  <c r="R72" i="2" s="1"/>
  <c r="T72" i="2" s="1"/>
  <c r="I69" i="7"/>
  <c r="J69" i="7" s="1"/>
  <c r="L52" i="2"/>
  <c r="N27" i="2"/>
  <c r="N26" i="2"/>
  <c r="L51" i="2"/>
  <c r="I70" i="7"/>
  <c r="J70" i="7" s="1"/>
  <c r="I67" i="7"/>
  <c r="J67" i="7" s="1"/>
  <c r="I71" i="6"/>
  <c r="J71" i="6" s="1"/>
  <c r="G72" i="6"/>
  <c r="M15" i="9"/>
  <c r="J71" i="2" s="1"/>
  <c r="J70" i="2" s="1"/>
  <c r="L53" i="2"/>
  <c r="P28" i="2"/>
  <c r="P53" i="2" s="1"/>
  <c r="T59" i="2"/>
  <c r="H41" i="2"/>
  <c r="H39" i="2"/>
  <c r="N37" i="2"/>
  <c r="L62" i="2"/>
  <c r="N35" i="2"/>
  <c r="L60" i="2"/>
  <c r="K64" i="2"/>
  <c r="K99" i="2" s="1"/>
  <c r="K100" i="2" s="1"/>
  <c r="L44" i="2"/>
  <c r="N17" i="2"/>
  <c r="N22" i="2"/>
  <c r="L49" i="2"/>
  <c r="I78" i="6"/>
  <c r="J78" i="6" s="1"/>
  <c r="I79" i="6"/>
  <c r="J79" i="6" s="1"/>
  <c r="I81" i="6"/>
  <c r="J81" i="6" s="1"/>
  <c r="I77" i="6"/>
  <c r="N23" i="2"/>
  <c r="L50" i="2"/>
  <c r="G72" i="7"/>
  <c r="N29" i="2"/>
  <c r="L54" i="2"/>
  <c r="L43" i="2"/>
  <c r="N16" i="2"/>
  <c r="J25" i="2"/>
  <c r="N55" i="2"/>
  <c r="P30" i="2"/>
  <c r="J14" i="2"/>
  <c r="B58" i="6"/>
  <c r="B58" i="7"/>
  <c r="C57" i="7" s="1"/>
  <c r="B38" i="6"/>
  <c r="B38" i="7"/>
  <c r="B48" i="6"/>
  <c r="B48" i="7"/>
  <c r="B28" i="6"/>
  <c r="C27" i="6" s="1"/>
  <c r="B28" i="7"/>
  <c r="B18" i="7"/>
  <c r="C17" i="7" s="1"/>
  <c r="B18" i="6"/>
  <c r="M100" i="2"/>
  <c r="Q100" i="2"/>
  <c r="S41" i="2"/>
  <c r="I64" i="2"/>
  <c r="D62" i="7"/>
  <c r="D42" i="7"/>
  <c r="K69" i="3"/>
  <c r="K90" i="3"/>
  <c r="M89" i="3"/>
  <c r="M88" i="3" s="1"/>
  <c r="J95" i="2" s="1"/>
  <c r="K27" i="3"/>
  <c r="M47" i="3"/>
  <c r="M46" i="3" s="1"/>
  <c r="J93" i="2" s="1"/>
  <c r="K102" i="2" l="1"/>
  <c r="D27" i="7" s="1"/>
  <c r="O102" i="2"/>
  <c r="D47" i="7" s="1"/>
  <c r="D52" i="7" s="1"/>
  <c r="N56" i="2"/>
  <c r="P21" i="2"/>
  <c r="P48" i="2" s="1"/>
  <c r="N47" i="2"/>
  <c r="I82" i="7"/>
  <c r="J77" i="7"/>
  <c r="R28" i="2"/>
  <c r="T28" i="2" s="1"/>
  <c r="N18" i="2"/>
  <c r="L45" i="2"/>
  <c r="J72" i="7"/>
  <c r="J82" i="7"/>
  <c r="P19" i="2"/>
  <c r="J41" i="2"/>
  <c r="J72" i="6"/>
  <c r="P47" i="2"/>
  <c r="R47" i="2" s="1"/>
  <c r="T47" i="2" s="1"/>
  <c r="R20" i="2"/>
  <c r="T20" i="2" s="1"/>
  <c r="N52" i="2"/>
  <c r="P27" i="2"/>
  <c r="P52" i="2" s="1"/>
  <c r="N51" i="2"/>
  <c r="P26" i="2"/>
  <c r="I72" i="6"/>
  <c r="I72" i="7"/>
  <c r="F24" i="9"/>
  <c r="G24" i="9" s="1"/>
  <c r="M24" i="9" s="1"/>
  <c r="M27" i="9" s="1"/>
  <c r="P71" i="2" s="1"/>
  <c r="P70" i="2" s="1"/>
  <c r="G20" i="9"/>
  <c r="M20" i="9" s="1"/>
  <c r="M23" i="9" s="1"/>
  <c r="N71" i="2" s="1"/>
  <c r="N70" i="2" s="1"/>
  <c r="L71" i="2"/>
  <c r="L70" i="2" s="1"/>
  <c r="R53" i="2"/>
  <c r="T53" i="2" s="1"/>
  <c r="Z25" i="2" s="1"/>
  <c r="R48" i="2"/>
  <c r="T48" i="2" s="1"/>
  <c r="H64" i="2"/>
  <c r="L25" i="2"/>
  <c r="P17" i="2"/>
  <c r="P44" i="2" s="1"/>
  <c r="N44" i="2"/>
  <c r="I82" i="6"/>
  <c r="J77" i="6"/>
  <c r="J82" i="6" s="1"/>
  <c r="N49" i="2"/>
  <c r="P22" i="2"/>
  <c r="P49" i="2" s="1"/>
  <c r="P16" i="2"/>
  <c r="P43" i="2" s="1"/>
  <c r="N43" i="2"/>
  <c r="R16" i="2"/>
  <c r="T16" i="2" s="1"/>
  <c r="N36" i="2"/>
  <c r="L61" i="2"/>
  <c r="N54" i="2"/>
  <c r="P29" i="2"/>
  <c r="N62" i="2"/>
  <c r="P37" i="2"/>
  <c r="P62" i="2" s="1"/>
  <c r="P46" i="2"/>
  <c r="R46" i="2" s="1"/>
  <c r="T46" i="2" s="1"/>
  <c r="R19" i="2"/>
  <c r="T19" i="2" s="1"/>
  <c r="R21" i="2"/>
  <c r="T21" i="2" s="1"/>
  <c r="N60" i="2"/>
  <c r="P35" i="2"/>
  <c r="P60" i="2" s="1"/>
  <c r="R60" i="2" s="1"/>
  <c r="T60" i="2" s="1"/>
  <c r="P23" i="2"/>
  <c r="P50" i="2" s="1"/>
  <c r="N50" i="2"/>
  <c r="P56" i="2"/>
  <c r="R56" i="2" s="1"/>
  <c r="T56" i="2" s="1"/>
  <c r="R31" i="2"/>
  <c r="T31" i="2" s="1"/>
  <c r="P55" i="2"/>
  <c r="R55" i="2" s="1"/>
  <c r="T55" i="2" s="1"/>
  <c r="R30" i="2"/>
  <c r="T30" i="2" s="1"/>
  <c r="P32" i="2"/>
  <c r="R32" i="2" s="1"/>
  <c r="T32" i="2" s="1"/>
  <c r="N57" i="2"/>
  <c r="L42" i="2"/>
  <c r="L14" i="2"/>
  <c r="J39" i="2"/>
  <c r="F58" i="7"/>
  <c r="G58" i="7" s="1"/>
  <c r="H60" i="7"/>
  <c r="H57" i="7"/>
  <c r="H61" i="7"/>
  <c r="H59" i="7"/>
  <c r="F57" i="7"/>
  <c r="F59" i="7"/>
  <c r="G59" i="7" s="1"/>
  <c r="F61" i="7"/>
  <c r="G61" i="7" s="1"/>
  <c r="H58" i="7"/>
  <c r="F60" i="7"/>
  <c r="G60" i="7" s="1"/>
  <c r="F20" i="6"/>
  <c r="G20" i="6" s="1"/>
  <c r="F17" i="6"/>
  <c r="H17" i="6"/>
  <c r="H20" i="6"/>
  <c r="H21" i="6"/>
  <c r="F19" i="6"/>
  <c r="G19" i="6" s="1"/>
  <c r="F18" i="6"/>
  <c r="G18" i="6" s="1"/>
  <c r="F21" i="6"/>
  <c r="G21" i="6" s="1"/>
  <c r="H18" i="6"/>
  <c r="H19" i="6"/>
  <c r="C17" i="6"/>
  <c r="H57" i="6"/>
  <c r="F60" i="6"/>
  <c r="G60" i="6" s="1"/>
  <c r="F57" i="6"/>
  <c r="F59" i="6"/>
  <c r="G59" i="6" s="1"/>
  <c r="H59" i="6"/>
  <c r="F58" i="6"/>
  <c r="G58" i="6" s="1"/>
  <c r="F61" i="6"/>
  <c r="G61" i="6" s="1"/>
  <c r="H60" i="6"/>
  <c r="H61" i="6"/>
  <c r="H58" i="6"/>
  <c r="C57" i="6"/>
  <c r="F18" i="7"/>
  <c r="G18" i="7" s="1"/>
  <c r="F20" i="7"/>
  <c r="G20" i="7" s="1"/>
  <c r="H19" i="7"/>
  <c r="F17" i="7"/>
  <c r="H21" i="7"/>
  <c r="H17" i="7"/>
  <c r="H18" i="7"/>
  <c r="F21" i="7"/>
  <c r="G21" i="7" s="1"/>
  <c r="F19" i="7"/>
  <c r="G19" i="7" s="1"/>
  <c r="H20" i="7"/>
  <c r="F28" i="7"/>
  <c r="G28" i="7" s="1"/>
  <c r="F27" i="7"/>
  <c r="H30" i="7"/>
  <c r="H28" i="7"/>
  <c r="F29" i="7"/>
  <c r="G29" i="7" s="1"/>
  <c r="F31" i="7"/>
  <c r="G31" i="7" s="1"/>
  <c r="H31" i="7"/>
  <c r="H27" i="7"/>
  <c r="F30" i="7"/>
  <c r="G30" i="7" s="1"/>
  <c r="H29" i="7"/>
  <c r="C27" i="7"/>
  <c r="F28" i="6"/>
  <c r="G28" i="6" s="1"/>
  <c r="H28" i="6"/>
  <c r="F27" i="6"/>
  <c r="F31" i="6"/>
  <c r="G31" i="6" s="1"/>
  <c r="F30" i="6"/>
  <c r="G30" i="6" s="1"/>
  <c r="H27" i="6"/>
  <c r="H29" i="6"/>
  <c r="H31" i="6"/>
  <c r="F29" i="6"/>
  <c r="G29" i="6" s="1"/>
  <c r="H30" i="6"/>
  <c r="F47" i="7"/>
  <c r="F50" i="7"/>
  <c r="G50" i="7" s="1"/>
  <c r="H50" i="7"/>
  <c r="F51" i="7"/>
  <c r="G51" i="7" s="1"/>
  <c r="F49" i="7"/>
  <c r="G49" i="7" s="1"/>
  <c r="F48" i="7"/>
  <c r="G48" i="7" s="1"/>
  <c r="H47" i="7"/>
  <c r="H51" i="7"/>
  <c r="H49" i="7"/>
  <c r="H48" i="7"/>
  <c r="C47" i="7"/>
  <c r="F47" i="6"/>
  <c r="H51" i="6"/>
  <c r="H49" i="6"/>
  <c r="H50" i="6"/>
  <c r="F49" i="6"/>
  <c r="G49" i="6" s="1"/>
  <c r="F51" i="6"/>
  <c r="G51" i="6" s="1"/>
  <c r="H47" i="6"/>
  <c r="H48" i="6"/>
  <c r="F50" i="6"/>
  <c r="G50" i="6" s="1"/>
  <c r="F48" i="6"/>
  <c r="G48" i="6" s="1"/>
  <c r="H41" i="7"/>
  <c r="F38" i="7"/>
  <c r="G38" i="7" s="1"/>
  <c r="H37" i="7"/>
  <c r="H40" i="7"/>
  <c r="H38" i="7"/>
  <c r="F39" i="7"/>
  <c r="G39" i="7" s="1"/>
  <c r="F40" i="7"/>
  <c r="G40" i="7" s="1"/>
  <c r="H39" i="7"/>
  <c r="F41" i="7"/>
  <c r="G41" i="7" s="1"/>
  <c r="F37" i="7"/>
  <c r="H39" i="6"/>
  <c r="F37" i="6"/>
  <c r="F40" i="6"/>
  <c r="G40" i="6" s="1"/>
  <c r="H40" i="6"/>
  <c r="F38" i="6"/>
  <c r="G38" i="6" s="1"/>
  <c r="H38" i="6"/>
  <c r="H37" i="6"/>
  <c r="F39" i="6"/>
  <c r="G39" i="6" s="1"/>
  <c r="H41" i="6"/>
  <c r="F41" i="6"/>
  <c r="G41" i="6" s="1"/>
  <c r="C37" i="6"/>
  <c r="C47" i="6"/>
  <c r="C37" i="7"/>
  <c r="D32" i="7"/>
  <c r="S64" i="2"/>
  <c r="I99" i="2"/>
  <c r="K26" i="3"/>
  <c r="H92" i="2" s="1"/>
  <c r="O89" i="3"/>
  <c r="O88" i="3" s="1"/>
  <c r="L95" i="2" s="1"/>
  <c r="M90" i="3"/>
  <c r="M48" i="3"/>
  <c r="O47" i="3"/>
  <c r="O46" i="3" s="1"/>
  <c r="L93" i="2" s="1"/>
  <c r="M68" i="3"/>
  <c r="M67" i="3" s="1"/>
  <c r="J94" i="2" s="1"/>
  <c r="R27" i="2" l="1"/>
  <c r="T27" i="2" s="1"/>
  <c r="P18" i="2"/>
  <c r="P45" i="2" s="1"/>
  <c r="N45" i="2"/>
  <c r="R45" i="2" s="1"/>
  <c r="T45" i="2" s="1"/>
  <c r="R18" i="2"/>
  <c r="T18" i="2" s="1"/>
  <c r="R49" i="2"/>
  <c r="T49" i="2" s="1"/>
  <c r="R52" i="2"/>
  <c r="T52" i="2" s="1"/>
  <c r="R23" i="2"/>
  <c r="T23" i="2" s="1"/>
  <c r="R50" i="2"/>
  <c r="T50" i="2" s="1"/>
  <c r="R70" i="2"/>
  <c r="T70" i="2" s="1"/>
  <c r="AB25" i="2" s="1"/>
  <c r="R17" i="2"/>
  <c r="T17" i="2" s="1"/>
  <c r="R44" i="2"/>
  <c r="T44" i="2" s="1"/>
  <c r="P51" i="2"/>
  <c r="R51" i="2" s="1"/>
  <c r="T51" i="2" s="1"/>
  <c r="R26" i="2"/>
  <c r="T26" i="2" s="1"/>
  <c r="R71" i="2"/>
  <c r="T71" i="2" s="1"/>
  <c r="R35" i="2"/>
  <c r="T35" i="2" s="1"/>
  <c r="R43" i="2"/>
  <c r="T43" i="2" s="1"/>
  <c r="R37" i="2"/>
  <c r="T37" i="2" s="1"/>
  <c r="L41" i="2"/>
  <c r="L39" i="2"/>
  <c r="H62" i="7"/>
  <c r="R62" i="2"/>
  <c r="T62" i="2" s="1"/>
  <c r="N58" i="2"/>
  <c r="P33" i="2"/>
  <c r="P54" i="2"/>
  <c r="R54" i="2" s="1"/>
  <c r="T54" i="2" s="1"/>
  <c r="R29" i="2"/>
  <c r="T29" i="2" s="1"/>
  <c r="N61" i="2"/>
  <c r="P36" i="2"/>
  <c r="P61" i="2" s="1"/>
  <c r="R36" i="2"/>
  <c r="T36" i="2" s="1"/>
  <c r="N25" i="2"/>
  <c r="R22" i="2"/>
  <c r="T22" i="2" s="1"/>
  <c r="P57" i="2"/>
  <c r="R57" i="2" s="1"/>
  <c r="T57" i="2" s="1"/>
  <c r="X25" i="2" s="1"/>
  <c r="N42" i="2"/>
  <c r="P15" i="2"/>
  <c r="R15" i="2" s="1"/>
  <c r="T15" i="2" s="1"/>
  <c r="N14" i="2"/>
  <c r="J64" i="2"/>
  <c r="F32" i="6"/>
  <c r="G27" i="6"/>
  <c r="G32" i="6" s="1"/>
  <c r="H52" i="6"/>
  <c r="G57" i="6"/>
  <c r="G62" i="6" s="1"/>
  <c r="F62" i="6"/>
  <c r="H42" i="7"/>
  <c r="H32" i="7"/>
  <c r="H62" i="6"/>
  <c r="F52" i="6"/>
  <c r="G47" i="6"/>
  <c r="G52" i="6" s="1"/>
  <c r="H42" i="6"/>
  <c r="G27" i="7"/>
  <c r="G32" i="7" s="1"/>
  <c r="F32" i="7"/>
  <c r="E27" i="7" s="1"/>
  <c r="H52" i="7"/>
  <c r="H32" i="6"/>
  <c r="H22" i="6"/>
  <c r="G17" i="6"/>
  <c r="G22" i="6" s="1"/>
  <c r="F22" i="6"/>
  <c r="G37" i="7"/>
  <c r="G42" i="7" s="1"/>
  <c r="F42" i="7"/>
  <c r="E37" i="7" s="1"/>
  <c r="H22" i="7"/>
  <c r="G47" i="7"/>
  <c r="G52" i="7" s="1"/>
  <c r="F52" i="7"/>
  <c r="E47" i="7" s="1"/>
  <c r="I47" i="7" s="1"/>
  <c r="J47" i="7" s="1"/>
  <c r="F22" i="7"/>
  <c r="G17" i="7"/>
  <c r="G22" i="7" s="1"/>
  <c r="G37" i="6"/>
  <c r="G42" i="6" s="1"/>
  <c r="F42" i="6"/>
  <c r="G57" i="7"/>
  <c r="G62" i="7" s="1"/>
  <c r="F62" i="7"/>
  <c r="E57" i="7" s="1"/>
  <c r="I100" i="2"/>
  <c r="S100" i="2" s="1"/>
  <c r="I102" i="2"/>
  <c r="S99" i="2"/>
  <c r="Q47" i="3"/>
  <c r="Q46" i="3" s="1"/>
  <c r="N93" i="2" s="1"/>
  <c r="O48" i="3"/>
  <c r="O68" i="3"/>
  <c r="O67" i="3" s="1"/>
  <c r="L94" i="2" s="1"/>
  <c r="M69" i="3"/>
  <c r="O90" i="3"/>
  <c r="S89" i="3"/>
  <c r="Q89" i="3"/>
  <c r="Q88" i="3" s="1"/>
  <c r="N95" i="2" s="1"/>
  <c r="L64" i="2" l="1"/>
  <c r="I60" i="7"/>
  <c r="J60" i="7" s="1"/>
  <c r="I58" i="7"/>
  <c r="J58" i="7" s="1"/>
  <c r="P58" i="2"/>
  <c r="R33" i="2"/>
  <c r="T33" i="2" s="1"/>
  <c r="R58" i="2"/>
  <c r="T58" i="2" s="1"/>
  <c r="I51" i="7"/>
  <c r="J51" i="7" s="1"/>
  <c r="I48" i="7"/>
  <c r="J48" i="7" s="1"/>
  <c r="N39" i="2"/>
  <c r="N41" i="2"/>
  <c r="P25" i="2"/>
  <c r="R25" i="2" s="1"/>
  <c r="T25" i="2" s="1"/>
  <c r="R61" i="2"/>
  <c r="T61" i="2" s="1"/>
  <c r="I50" i="7"/>
  <c r="J50" i="7" s="1"/>
  <c r="I49" i="7"/>
  <c r="J49" i="7" s="1"/>
  <c r="I61" i="7"/>
  <c r="J61" i="7" s="1"/>
  <c r="P14" i="2"/>
  <c r="R14" i="2" s="1"/>
  <c r="T14" i="2" s="1"/>
  <c r="P42" i="2"/>
  <c r="I38" i="7"/>
  <c r="J38" i="7" s="1"/>
  <c r="I37" i="7"/>
  <c r="I39" i="7"/>
  <c r="J39" i="7" s="1"/>
  <c r="I41" i="7"/>
  <c r="J41" i="7" s="1"/>
  <c r="I40" i="7"/>
  <c r="J40" i="7" s="1"/>
  <c r="I27" i="7"/>
  <c r="I28" i="7"/>
  <c r="J28" i="7" s="1"/>
  <c r="I30" i="7"/>
  <c r="J30" i="7" s="1"/>
  <c r="I31" i="7"/>
  <c r="J31" i="7" s="1"/>
  <c r="I59" i="7"/>
  <c r="J59" i="7" s="1"/>
  <c r="I57" i="7"/>
  <c r="I29" i="7"/>
  <c r="J29" i="7" s="1"/>
  <c r="D17" i="7"/>
  <c r="S102" i="2"/>
  <c r="Q68" i="3"/>
  <c r="Q67" i="3" s="1"/>
  <c r="N94" i="2" s="1"/>
  <c r="Q48" i="3"/>
  <c r="S47" i="3"/>
  <c r="S46" i="3" s="1"/>
  <c r="P93" i="2" s="1"/>
  <c r="R93" i="2" s="1"/>
  <c r="T93" i="2" s="1"/>
  <c r="O69" i="3"/>
  <c r="S88" i="3"/>
  <c r="P95" i="2" s="1"/>
  <c r="R95" i="2" s="1"/>
  <c r="T95" i="2" s="1"/>
  <c r="Q90" i="3"/>
  <c r="P39" i="2" l="1"/>
  <c r="R39" i="2" s="1"/>
  <c r="T39" i="2" s="1"/>
  <c r="N64" i="2"/>
  <c r="J52" i="7"/>
  <c r="I52" i="7"/>
  <c r="O106" i="2" s="1"/>
  <c r="O105" i="2" s="1"/>
  <c r="O110" i="2" s="1"/>
  <c r="O113" i="2" s="1"/>
  <c r="R42" i="2"/>
  <c r="T42" i="2" s="1"/>
  <c r="W25" i="2" s="1"/>
  <c r="P41" i="2"/>
  <c r="I62" i="7"/>
  <c r="Q106" i="2" s="1"/>
  <c r="Q105" i="2" s="1"/>
  <c r="Q110" i="2" s="1"/>
  <c r="Q113" i="2" s="1"/>
  <c r="J57" i="7"/>
  <c r="J62" i="7" s="1"/>
  <c r="J27" i="7"/>
  <c r="J32" i="7" s="1"/>
  <c r="I32" i="7"/>
  <c r="K106" i="2" s="1"/>
  <c r="K105" i="2" s="1"/>
  <c r="K110" i="2" s="1"/>
  <c r="K113" i="2" s="1"/>
  <c r="I42" i="7"/>
  <c r="M106" i="2" s="1"/>
  <c r="M105" i="2" s="1"/>
  <c r="M110" i="2" s="1"/>
  <c r="M113" i="2" s="1"/>
  <c r="J37" i="7"/>
  <c r="J42" i="7" s="1"/>
  <c r="E17" i="7"/>
  <c r="D22" i="7"/>
  <c r="D12" i="7" s="1"/>
  <c r="Q69" i="3"/>
  <c r="S68" i="3"/>
  <c r="S67" i="3" s="1"/>
  <c r="P94" i="2" s="1"/>
  <c r="R94" i="2" s="1"/>
  <c r="T94" i="2" s="1"/>
  <c r="S90" i="3"/>
  <c r="S48" i="3"/>
  <c r="P64" i="2" l="1"/>
  <c r="R64" i="2" s="1"/>
  <c r="T64" i="2" s="1"/>
  <c r="R41" i="2"/>
  <c r="T41" i="2" s="1"/>
  <c r="I20" i="7"/>
  <c r="J20" i="7" s="1"/>
  <c r="I19" i="7"/>
  <c r="J19" i="7" s="1"/>
  <c r="I17" i="7"/>
  <c r="I18" i="7"/>
  <c r="J18" i="7" s="1"/>
  <c r="I21" i="7"/>
  <c r="J21" i="7" s="1"/>
  <c r="S69" i="3"/>
  <c r="I22" i="7" l="1"/>
  <c r="J17" i="7"/>
  <c r="J22" i="7" s="1"/>
  <c r="M7" i="3"/>
  <c r="M6" i="3" s="1"/>
  <c r="J91" i="2" s="1"/>
  <c r="M8" i="3"/>
  <c r="I106" i="2" l="1"/>
  <c r="I12" i="7"/>
  <c r="Q7" i="3"/>
  <c r="Q6" i="3" s="1"/>
  <c r="N91" i="2" s="1"/>
  <c r="I105" i="2" l="1"/>
  <c r="S106" i="2"/>
  <c r="K7" i="3"/>
  <c r="K6" i="3" s="1"/>
  <c r="H91" i="2" s="1"/>
  <c r="O7" i="3"/>
  <c r="O6" i="3" s="1"/>
  <c r="L91" i="2" s="1"/>
  <c r="S7" i="3"/>
  <c r="S6" i="3" s="1"/>
  <c r="P91" i="2" s="1"/>
  <c r="Q8" i="3"/>
  <c r="H80" i="2" l="1"/>
  <c r="H99" i="2" s="1"/>
  <c r="H102" i="2" s="1"/>
  <c r="D17" i="6" s="1"/>
  <c r="E17" i="6" s="1"/>
  <c r="I110" i="2"/>
  <c r="S105" i="2"/>
  <c r="O8" i="3"/>
  <c r="K8" i="3"/>
  <c r="S8" i="3"/>
  <c r="R91" i="2"/>
  <c r="T91" i="2" s="1"/>
  <c r="M27" i="3"/>
  <c r="M28" i="3"/>
  <c r="D22" i="6" l="1"/>
  <c r="H100" i="2"/>
  <c r="M26" i="3"/>
  <c r="J92" i="2" s="1"/>
  <c r="S110" i="2"/>
  <c r="I113" i="2"/>
  <c r="S113" i="2" s="1"/>
  <c r="I20" i="6"/>
  <c r="J20" i="6" s="1"/>
  <c r="I21" i="6"/>
  <c r="J21" i="6" s="1"/>
  <c r="I17" i="6"/>
  <c r="I19" i="6"/>
  <c r="J19" i="6" s="1"/>
  <c r="I18" i="6"/>
  <c r="J18" i="6" s="1"/>
  <c r="Q28" i="3"/>
  <c r="O28" i="3"/>
  <c r="Q27" i="3"/>
  <c r="Q26" i="3" s="1"/>
  <c r="J80" i="2"/>
  <c r="O27" i="3"/>
  <c r="O26" i="3" s="1"/>
  <c r="N92" i="2" l="1"/>
  <c r="N80" i="2" s="1"/>
  <c r="N99" i="2" s="1"/>
  <c r="L92" i="2"/>
  <c r="L80" i="2" s="1"/>
  <c r="L99" i="2" s="1"/>
  <c r="I22" i="6"/>
  <c r="H106" i="2" s="1"/>
  <c r="H105" i="2" s="1"/>
  <c r="H110" i="2" s="1"/>
  <c r="H113" i="2" s="1"/>
  <c r="J17" i="6"/>
  <c r="J22" i="6" s="1"/>
  <c r="J99" i="2"/>
  <c r="S27" i="3"/>
  <c r="S28" i="3"/>
  <c r="L102" i="2" l="1"/>
  <c r="D37" i="6" s="1"/>
  <c r="E37" i="6" s="1"/>
  <c r="L100" i="2"/>
  <c r="N100" i="2"/>
  <c r="N102" i="2"/>
  <c r="D47" i="6" s="1"/>
  <c r="E47" i="6" s="1"/>
  <c r="S26" i="3"/>
  <c r="P92" i="2" s="1"/>
  <c r="P80" i="2" s="1"/>
  <c r="P99" i="2" s="1"/>
  <c r="R99" i="2" s="1"/>
  <c r="T99" i="2" s="1"/>
  <c r="J100" i="2"/>
  <c r="J102" i="2"/>
  <c r="D52" i="6" l="1"/>
  <c r="R92" i="2"/>
  <c r="T92" i="2" s="1"/>
  <c r="AA25" i="2" s="1"/>
  <c r="R80" i="2"/>
  <c r="T80" i="2" s="1"/>
  <c r="AC25" i="2" s="1"/>
  <c r="D42" i="6"/>
  <c r="P100" i="2"/>
  <c r="R100" i="2" s="1"/>
  <c r="T100" i="2" s="1"/>
  <c r="P102" i="2"/>
  <c r="D57" i="6" s="1"/>
  <c r="D62" i="6" s="1"/>
  <c r="I40" i="6"/>
  <c r="J40" i="6" s="1"/>
  <c r="I37" i="6"/>
  <c r="I38" i="6"/>
  <c r="J38" i="6" s="1"/>
  <c r="I39" i="6"/>
  <c r="J39" i="6" s="1"/>
  <c r="I41" i="6"/>
  <c r="J41" i="6" s="1"/>
  <c r="D27" i="6"/>
  <c r="I51" i="6"/>
  <c r="J51" i="6" s="1"/>
  <c r="I49" i="6"/>
  <c r="J49" i="6" s="1"/>
  <c r="I48" i="6"/>
  <c r="J48" i="6" s="1"/>
  <c r="I47" i="6"/>
  <c r="I50" i="6"/>
  <c r="J50" i="6" s="1"/>
  <c r="AD16" i="2" l="1"/>
  <c r="AD17" i="2"/>
  <c r="AD14" i="2"/>
  <c r="AD15" i="2"/>
  <c r="AD18" i="2"/>
  <c r="E57" i="6"/>
  <c r="I61" i="6" s="1"/>
  <c r="J61" i="6" s="1"/>
  <c r="R102" i="2"/>
  <c r="T102" i="2" s="1"/>
  <c r="J47" i="6"/>
  <c r="J52" i="6" s="1"/>
  <c r="I52" i="6"/>
  <c r="N106" i="2" s="1"/>
  <c r="N105" i="2" s="1"/>
  <c r="N110" i="2" s="1"/>
  <c r="N113" i="2" s="1"/>
  <c r="J37" i="6"/>
  <c r="J42" i="6" s="1"/>
  <c r="I42" i="6"/>
  <c r="L106" i="2" s="1"/>
  <c r="L105" i="2" s="1"/>
  <c r="L110" i="2" s="1"/>
  <c r="L113" i="2" s="1"/>
  <c r="D32" i="6"/>
  <c r="D12" i="6" s="1"/>
  <c r="E27" i="6"/>
  <c r="AD19" i="2" l="1"/>
  <c r="I60" i="6"/>
  <c r="J60" i="6" s="1"/>
  <c r="I57" i="6"/>
  <c r="J57" i="6" s="1"/>
  <c r="I58" i="6"/>
  <c r="J58" i="6" s="1"/>
  <c r="I59" i="6"/>
  <c r="J59" i="6" s="1"/>
  <c r="I29" i="6"/>
  <c r="J29" i="6" s="1"/>
  <c r="I27" i="6"/>
  <c r="I28" i="6"/>
  <c r="J28" i="6" s="1"/>
  <c r="I31" i="6"/>
  <c r="J31" i="6" s="1"/>
  <c r="I30" i="6"/>
  <c r="J30" i="6" s="1"/>
  <c r="J62" i="6" l="1"/>
  <c r="I62" i="6"/>
  <c r="P106" i="2" s="1"/>
  <c r="P105" i="2" s="1"/>
  <c r="P110" i="2" s="1"/>
  <c r="P113" i="2" s="1"/>
  <c r="J27" i="6"/>
  <c r="J32" i="6" s="1"/>
  <c r="I32" i="6"/>
  <c r="I12" i="6" l="1"/>
  <c r="J106" i="2"/>
  <c r="J105" i="2" l="1"/>
  <c r="R106" i="2"/>
  <c r="T106" i="2" s="1"/>
  <c r="R105" i="2" l="1"/>
  <c r="T105" i="2" s="1"/>
  <c r="J110" i="2"/>
  <c r="J113" i="2" l="1"/>
  <c r="R110" i="2"/>
  <c r="T110" i="2" l="1"/>
  <c r="R113" i="2"/>
  <c r="T11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Sara Jane Oftelie</author>
    <author>Rich, Andrea K [S P]</author>
  </authors>
  <commentList>
    <comment ref="H91" authorId="0" shapeId="0" xr:uid="{00000000-0006-0000-0000-000001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1" authorId="0" shapeId="0" xr:uid="{9EBBC648-66DE-4998-9E2C-A32ED14F99E8}">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1" authorId="0" shapeId="0" xr:uid="{9A0BFD76-B9AF-418D-9D6E-67A046023605}">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1" authorId="0" shapeId="0" xr:uid="{3A264895-37EF-4FA8-8DF1-510C551E34C2}">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1" authorId="0" shapeId="0" xr:uid="{00000000-0006-0000-0000-000005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2" authorId="0" shapeId="0" xr:uid="{00000000-0006-0000-0000-000006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2" authorId="0" shapeId="0" xr:uid="{7B42F06C-2141-427B-881C-812FFD7AF0AE}">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2" authorId="0" shapeId="0" xr:uid="{612E4ED3-9D70-42B7-A9FE-9DBBBF686A4F}">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2" authorId="0" shapeId="0" xr:uid="{A4138A66-C2AC-4EA3-B6C6-7E7B69693735}">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2" authorId="0" shapeId="0" xr:uid="{00000000-0006-0000-0000-00000A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3" authorId="0" shapeId="0" xr:uid="{00000000-0006-0000-0000-00000B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3" authorId="0" shapeId="0" xr:uid="{8F62E920-7DC6-4165-98BA-076CC87EF81A}">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3" authorId="0" shapeId="0" xr:uid="{A946FF35-26A0-48E1-849C-B220E1DA5BCC}">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3" authorId="0" shapeId="0" xr:uid="{E090A687-DCF9-4C8F-B1E3-E693571B2A7C}">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3" authorId="0" shapeId="0" xr:uid="{00000000-0006-0000-0000-00000F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4" authorId="1" shapeId="0" xr:uid="{00000000-0006-0000-0000-000010000000}">
      <text>
        <r>
          <rPr>
            <b/>
            <sz val="9"/>
            <color indexed="81"/>
            <rFont val="Tahoma"/>
            <family val="2"/>
          </rPr>
          <t>Please DO NOT type in this space - it will autofill from the TUITION sheet after you make your selections.</t>
        </r>
      </text>
    </comment>
    <comment ref="J94" authorId="1" shapeId="0" xr:uid="{35BD87FC-162E-419D-BBED-C7DE91565ABF}">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4" authorId="1" shapeId="0" xr:uid="{847ED64D-757A-463A-8E23-FFD63C53EEFD}">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4" authorId="1" shapeId="0" xr:uid="{899E2C6D-2C79-4C54-A49D-9DB1D8F0E88C}">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4" authorId="1" shapeId="0" xr:uid="{00000000-0006-0000-0000-000014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List>
</comments>
</file>

<file path=xl/sharedStrings.xml><?xml version="1.0" encoding="utf-8"?>
<sst xmlns="http://schemas.openxmlformats.org/spreadsheetml/2006/main" count="1006" uniqueCount="291">
  <si>
    <t>Project Budget Worksheet - Iowa State University of Science and Technology</t>
  </si>
  <si>
    <t>Eff. 7/1/2024</t>
  </si>
  <si>
    <t>Updated 7/22/2024</t>
  </si>
  <si>
    <t>Program Sponsor</t>
  </si>
  <si>
    <t>Kansas State University</t>
  </si>
  <si>
    <t xml:space="preserve">Enter Start Date: </t>
  </si>
  <si>
    <t>Start Date must be entered for each budget</t>
  </si>
  <si>
    <t>Title</t>
  </si>
  <si>
    <t xml:space="preserve">Enter other rate as percentage (if needed): </t>
  </si>
  <si>
    <t>This budget is completely adjustable.  You will need to double check your work and make adjustments in certain cells, such as:</t>
  </si>
  <si>
    <t>Negotiated Rate</t>
  </si>
  <si>
    <t>Yes</t>
  </si>
  <si>
    <t>PI</t>
  </si>
  <si>
    <t>Brian Gelder</t>
  </si>
  <si>
    <t xml:space="preserve">Select calculation type: </t>
  </si>
  <si>
    <t>Subcontracts - Verify that only the first $25K of each subcontract is charged IDC.  You might need to adjust the MTDC for each year of each subcontract.</t>
  </si>
  <si>
    <t>Other TDC</t>
  </si>
  <si>
    <t>No</t>
  </si>
  <si>
    <t>Period of Performance</t>
  </si>
  <si>
    <t>Unrecovered IDC Allowed</t>
  </si>
  <si>
    <t>Indirect costs- Budget defaults to caculate on 53% MTDC.  To use a rate other than organized research, please enter rate in 'Enter Other Rate' cell and  select the correct rate type the in dropdown.</t>
  </si>
  <si>
    <t>Total Project Costs (USDA TFF)</t>
  </si>
  <si>
    <t>Deadline</t>
  </si>
  <si>
    <t>For Total Project Costs (also used as the USDA NIFA Total Federal Funds calculation), enter the Total Direct Cost conversion rate.</t>
  </si>
  <si>
    <t>Other MTDC</t>
  </si>
  <si>
    <t>Year 1</t>
  </si>
  <si>
    <t>Year 2</t>
  </si>
  <si>
    <t>Year 3</t>
  </si>
  <si>
    <t>Year 4</t>
  </si>
  <si>
    <t>Year 5</t>
  </si>
  <si>
    <t>Total Sponsor Funds</t>
  </si>
  <si>
    <t>Total Cost-Shared Matching Funds</t>
  </si>
  <si>
    <t>Total Project Funds</t>
  </si>
  <si>
    <t>Start Date</t>
  </si>
  <si>
    <t>End Date</t>
  </si>
  <si>
    <t xml:space="preserve">Start Date </t>
  </si>
  <si>
    <t>Sponsor Funds Requested</t>
  </si>
  <si>
    <t>Cost-Shared  Matching Funds</t>
  </si>
  <si>
    <t>Salary</t>
  </si>
  <si>
    <t>Calendar</t>
  </si>
  <si>
    <t>Academic</t>
  </si>
  <si>
    <t>Summer</t>
  </si>
  <si>
    <t>A</t>
  </si>
  <si>
    <t>Key Personnel</t>
  </si>
  <si>
    <t>Monthly</t>
  </si>
  <si>
    <t>Months</t>
  </si>
  <si>
    <t>Number of</t>
  </si>
  <si>
    <t>B</t>
  </si>
  <si>
    <t>Other Personnel</t>
  </si>
  <si>
    <t>persons</t>
  </si>
  <si>
    <t>Post Doc</t>
  </si>
  <si>
    <t>Research Asst-Halftime</t>
  </si>
  <si>
    <t>Hourly  - TS</t>
  </si>
  <si>
    <t>Hourly Undergraduate student</t>
  </si>
  <si>
    <t>P&amp;S- DH</t>
  </si>
  <si>
    <t>P&amp;S- CC</t>
  </si>
  <si>
    <t>P&amp;S- LF</t>
  </si>
  <si>
    <t>Secretarial/Clerical</t>
  </si>
  <si>
    <t>Non-Student Hourly</t>
  </si>
  <si>
    <t>Subtotal: Salaries and Wages</t>
  </si>
  <si>
    <t>C</t>
  </si>
  <si>
    <t>Fringe Benefits</t>
  </si>
  <si>
    <t>Rate</t>
  </si>
  <si>
    <t>Subtotal: Salaries, Wages, and Benefits</t>
  </si>
  <si>
    <t>D</t>
  </si>
  <si>
    <r>
      <t xml:space="preserve">Equipment </t>
    </r>
    <r>
      <rPr>
        <b/>
        <sz val="10"/>
        <rFont val="Arial"/>
        <family val="2"/>
      </rPr>
      <t xml:space="preserve">(List Item and $ amount for each item </t>
    </r>
    <r>
      <rPr>
        <b/>
        <u/>
        <sz val="10"/>
        <rFont val="Arial"/>
        <family val="2"/>
      </rPr>
      <t>&gt;</t>
    </r>
    <r>
      <rPr>
        <b/>
        <sz val="10"/>
        <rFont val="Arial"/>
        <family val="2"/>
      </rPr>
      <t xml:space="preserve"> $5k)</t>
    </r>
  </si>
  <si>
    <t>E</t>
  </si>
  <si>
    <t>Travel</t>
  </si>
  <si>
    <t>1. Domestic Travel</t>
  </si>
  <si>
    <t>2. Foreign Travel</t>
  </si>
  <si>
    <t>F</t>
  </si>
  <si>
    <t>Participant Support Cost</t>
  </si>
  <si>
    <t>http://www.controller.iastate.edu/spa/PSC.pdf</t>
  </si>
  <si>
    <t>1. Stipend</t>
  </si>
  <si>
    <t>2. Travel</t>
  </si>
  <si>
    <t>3. Subsistence</t>
  </si>
  <si>
    <t>4. Other</t>
  </si>
  <si>
    <t>G</t>
  </si>
  <si>
    <t>Other Direct Costs</t>
  </si>
  <si>
    <t>Materials and Supplies</t>
  </si>
  <si>
    <t>Publication cost</t>
  </si>
  <si>
    <t>Consultant/Professional Services</t>
  </si>
  <si>
    <t>Computing support</t>
  </si>
  <si>
    <t>Equipment/Facility Rental or User Fee</t>
  </si>
  <si>
    <t>Alterations and Renovations (not included in MTDC)</t>
  </si>
  <si>
    <t>Subcontractor1 - Subject to IDC (first $25,000)</t>
  </si>
  <si>
    <t>See notes below</t>
  </si>
  <si>
    <t>NOT subject to IDC (Amount over $25,000)</t>
  </si>
  <si>
    <t>Subcontractor2 - Subject to IDC (first $25,000)</t>
  </si>
  <si>
    <t>Tuition-Most majors</t>
  </si>
  <si>
    <t>https://www.grad-college.iastate.edu/handbook/chapter.php?id=3</t>
  </si>
  <si>
    <t>(Click on "Tuition" sheet)</t>
  </si>
  <si>
    <t>Tuition-Bus, ENGR &amp; Seed Tech</t>
  </si>
  <si>
    <t>Tuition-ABE</t>
  </si>
  <si>
    <t>Tuition-Specific Grad Depts</t>
  </si>
  <si>
    <t>Tuition-Experiential Learning Majors</t>
  </si>
  <si>
    <t>3.3.1 Graduate Assistantship</t>
  </si>
  <si>
    <t>Other</t>
  </si>
  <si>
    <t>Subtotal: Total Direct Costs (TDC)</t>
  </si>
  <si>
    <t>Alternate Subtotal: Total Direct Costs Minus Subs</t>
  </si>
  <si>
    <t>Subtotal: Modified Total Direct Costs</t>
  </si>
  <si>
    <t>[ MTDC = TDC - Tuition - Equipment - Participant Support Cost ]</t>
  </si>
  <si>
    <t>H</t>
  </si>
  <si>
    <t>Indirect Costs</t>
  </si>
  <si>
    <t>Unrecovered Indirect Costs</t>
  </si>
  <si>
    <t>I</t>
  </si>
  <si>
    <t>Total Direct + Indirect Costs</t>
  </si>
  <si>
    <t>In Kind Cost Share</t>
  </si>
  <si>
    <t>Third Party In Kind Cost Share</t>
  </si>
  <si>
    <t>J</t>
  </si>
  <si>
    <t>GoldSheet Total</t>
  </si>
  <si>
    <t>Total Project Costs IDC</t>
  </si>
  <si>
    <t>Negotiated (NICRA) IDC</t>
  </si>
  <si>
    <t>IDC Rate to Use:</t>
  </si>
  <si>
    <r>
      <rPr>
        <b/>
        <u/>
        <sz val="10"/>
        <color indexed="10"/>
        <rFont val="Arial"/>
        <family val="2"/>
      </rPr>
      <t>NOTES</t>
    </r>
    <r>
      <rPr>
        <b/>
        <sz val="10"/>
        <color indexed="10"/>
        <rFont val="Arial"/>
        <family val="2"/>
      </rPr>
      <t>:</t>
    </r>
  </si>
  <si>
    <t>This budget is completely adjustable.  As such, you will need to double check your work and make adjustments in certain cells, such as:</t>
  </si>
  <si>
    <r>
      <rPr>
        <b/>
        <u/>
        <sz val="10"/>
        <color indexed="10"/>
        <rFont val="Arial"/>
        <family val="2"/>
      </rPr>
      <t>Subcontracts</t>
    </r>
    <r>
      <rPr>
        <b/>
        <sz val="10"/>
        <color indexed="10"/>
        <rFont val="Arial"/>
        <family val="2"/>
      </rPr>
      <t xml:space="preserve"> - Verify that only the first $25K of each subcontract is charged IDC.  You might need to adjust the MTDC for each year of each subcontract.</t>
    </r>
  </si>
  <si>
    <r>
      <rPr>
        <b/>
        <u/>
        <sz val="10"/>
        <color indexed="10"/>
        <rFont val="Arial"/>
        <family val="2"/>
      </rPr>
      <t>Benefits (FY24)</t>
    </r>
    <r>
      <rPr>
        <b/>
        <sz val="10"/>
        <color indexed="10"/>
        <rFont val="Arial"/>
        <family val="2"/>
      </rPr>
      <t>:</t>
    </r>
  </si>
  <si>
    <t>Indirect Cost Categories:</t>
  </si>
  <si>
    <t>Total Project Cost F&amp;A Rate Calculation:</t>
  </si>
  <si>
    <t>Faculty</t>
  </si>
  <si>
    <t xml:space="preserve">Graduate Assistant </t>
  </si>
  <si>
    <t>On-Campus Organized Research</t>
  </si>
  <si>
    <t>On Campus Instruction</t>
  </si>
  <si>
    <t>Total Project Cost F&amp;A Rate (USDA NIFA TFF Rate)</t>
  </si>
  <si>
    <t>P&amp;S</t>
  </si>
  <si>
    <t>On-Campus Other Sponsored Activities</t>
  </si>
  <si>
    <t>Merit</t>
  </si>
  <si>
    <t>Off-Campus All Programs</t>
  </si>
  <si>
    <t>F&amp;A Rate on Total Direct Cost*</t>
  </si>
  <si>
    <t>Student hourly</t>
  </si>
  <si>
    <t>*F&amp;A Rate to enter in G4</t>
  </si>
  <si>
    <t>Non-Student hourly</t>
  </si>
  <si>
    <t>Americorps</t>
  </si>
  <si>
    <t>Misc.</t>
  </si>
  <si>
    <t xml:space="preserve"> </t>
  </si>
  <si>
    <t>Tool to Calculate Split F&amp;A Rates for a Project Period</t>
  </si>
  <si>
    <t>INSTRUCTIONS:</t>
  </si>
  <si>
    <t>Use this tool to help you calculate split F&amp;A for budgeting purposes. By entering the Project Budget amount, and start and end dates, this tool will calculate the correct F&amp;A rate for the period.</t>
  </si>
  <si>
    <r>
      <t xml:space="preserve">The only fields needed are the </t>
    </r>
    <r>
      <rPr>
        <b/>
        <sz val="10"/>
        <rFont val="Arial"/>
        <family val="2"/>
      </rPr>
      <t>Start Date, End Date</t>
    </r>
    <r>
      <rPr>
        <sz val="10"/>
        <rFont val="Arial"/>
        <family val="2"/>
      </rPr>
      <t xml:space="preserve">, and the </t>
    </r>
    <r>
      <rPr>
        <b/>
        <sz val="10"/>
        <rFont val="Arial"/>
        <family val="2"/>
      </rPr>
      <t>Modified Total Direct Cost Amount</t>
    </r>
    <r>
      <rPr>
        <sz val="10"/>
        <rFont val="Arial"/>
        <family val="2"/>
      </rPr>
      <t>. This tool will calculate the F&amp;A rate and amount based on the reference table shown.</t>
    </r>
  </si>
  <si>
    <t>Please be aware that if your Project period Start and End dates span multiple F&amp;A effective dates, you will need to add the additional effective dates and rates to the Project Activity&gt;FA Rates tab in EFS.</t>
  </si>
  <si>
    <r>
      <t xml:space="preserve">See the job aid: </t>
    </r>
    <r>
      <rPr>
        <b/>
        <sz val="10"/>
        <rFont val="Arial"/>
        <family val="2"/>
      </rPr>
      <t>Setting up F&amp;A on a Project Using Split Rates</t>
    </r>
  </si>
  <si>
    <t>This tool is set up to accommodate up to 7 separate Project Budget periods and will provide a Grand Total of all budget periods.</t>
  </si>
  <si>
    <t>Total MTDC</t>
  </si>
  <si>
    <t>Total F&amp;A</t>
  </si>
  <si>
    <t>PROJECT GRAND TOTALS:</t>
  </si>
  <si>
    <t>1st Budget Period</t>
  </si>
  <si>
    <t>Enter</t>
  </si>
  <si>
    <t>Calculated</t>
  </si>
  <si>
    <t>Enter Amount:</t>
  </si>
  <si>
    <t>Reference Only 
Rate Table:</t>
  </si>
  <si>
    <t>Dates:</t>
  </si>
  <si>
    <t>Total # Months</t>
  </si>
  <si>
    <t>Total MTDC for the Period</t>
  </si>
  <si>
    <t>MTDC Daily Rate</t>
  </si>
  <si>
    <t>Days at Rate</t>
  </si>
  <si>
    <t>Months at Rate</t>
  </si>
  <si>
    <t>Use Rate</t>
  </si>
  <si>
    <t>F&amp;A Amount</t>
  </si>
  <si>
    <t>MTDC Amount</t>
  </si>
  <si>
    <t>Use F&amp;A Rate Effective Date</t>
  </si>
  <si>
    <t>F&amp;A Rate End</t>
  </si>
  <si>
    <t>F&amp;A Rate %</t>
  </si>
  <si>
    <t>Project Start Date</t>
  </si>
  <si>
    <t>Project End Date</t>
  </si>
  <si>
    <t>Totals:</t>
  </si>
  <si>
    <t>2nd Budget Period</t>
  </si>
  <si>
    <t>3rd Budget Period</t>
  </si>
  <si>
    <t>4th Budget Period</t>
  </si>
  <si>
    <t>5th Budget Period</t>
  </si>
  <si>
    <t>6th Budget Period</t>
  </si>
  <si>
    <t>7th Budget Period</t>
  </si>
  <si>
    <t xml:space="preserve">           Tuition Costs</t>
  </si>
  <si>
    <t>Funds Requested</t>
  </si>
  <si>
    <r>
      <t xml:space="preserve">Graduate Student Tuition </t>
    </r>
    <r>
      <rPr>
        <b/>
        <sz val="12"/>
        <rFont val="Arial"/>
        <family val="2"/>
      </rPr>
      <t>(most majors)</t>
    </r>
  </si>
  <si>
    <t>select 1/4-time/1/2-time &gt; &gt;</t>
  </si>
  <si>
    <t>1/2-time</t>
  </si>
  <si>
    <t>Graduate Student Tuition</t>
  </si>
  <si>
    <t>Maximum</t>
  </si>
  <si>
    <t>Minimum</t>
  </si>
  <si>
    <t>Graduate Student Tuition (most majors)</t>
  </si>
  <si>
    <r>
      <t>Masters Students</t>
    </r>
    <r>
      <rPr>
        <sz val="10"/>
        <rFont val="Arial"/>
        <family val="2"/>
      </rPr>
      <t xml:space="preserve"> (enter no. of students per term)</t>
    </r>
  </si>
  <si>
    <t>Summer 2025</t>
  </si>
  <si>
    <t>Summer 2026</t>
  </si>
  <si>
    <t>Summer 2027</t>
  </si>
  <si>
    <t>Summer 2028</t>
  </si>
  <si>
    <t>Summer 2029</t>
  </si>
  <si>
    <t>Fall</t>
  </si>
  <si>
    <t>Fall 2024</t>
  </si>
  <si>
    <t>Fall 2025</t>
  </si>
  <si>
    <t>Fall 2026</t>
  </si>
  <si>
    <t>Fall 2027</t>
  </si>
  <si>
    <t>Fall 2028</t>
  </si>
  <si>
    <t>Spring</t>
  </si>
  <si>
    <t>Spring 2025</t>
  </si>
  <si>
    <t>Spring 2026</t>
  </si>
  <si>
    <t>Spring 2027</t>
  </si>
  <si>
    <t>Spring 2028</t>
  </si>
  <si>
    <t>Spring 2029</t>
  </si>
  <si>
    <r>
      <t>PhD Students</t>
    </r>
    <r>
      <rPr>
        <sz val="10"/>
        <rFont val="Arial"/>
        <family val="2"/>
      </rPr>
      <t xml:space="preserve"> (enter no. of students per term)</t>
    </r>
  </si>
  <si>
    <r>
      <t xml:space="preserve">Graduate Student Tuition </t>
    </r>
    <r>
      <rPr>
        <b/>
        <sz val="12"/>
        <rFont val="Arial"/>
        <family val="2"/>
      </rPr>
      <t>(Business, Engineering &amp; Seed Tech)</t>
    </r>
  </si>
  <si>
    <t>1/4-time</t>
  </si>
  <si>
    <t>Business, Engineering &amp; Seed Tech Students Only</t>
  </si>
  <si>
    <r>
      <t xml:space="preserve">Graduate Student Tuition </t>
    </r>
    <r>
      <rPr>
        <b/>
        <sz val="12"/>
        <rFont val="Arial"/>
        <family val="2"/>
      </rPr>
      <t>(ABE: Ag &amp; Biotech Engineering)</t>
    </r>
  </si>
  <si>
    <t>Ag &amp; Biotech Engineering (ABE) Students Only</t>
  </si>
  <si>
    <r>
      <t xml:space="preserve">Graduate Student Tuition </t>
    </r>
    <r>
      <rPr>
        <b/>
        <sz val="12"/>
        <rFont val="Arial"/>
        <family val="2"/>
      </rPr>
      <t>(*Specific Graduate Departments)</t>
    </r>
  </si>
  <si>
    <t>*Specific Graduate Departments</t>
  </si>
  <si>
    <t>*Animal Sci, Comp Sci, GDCB, Microbiology, Plant Path, EEOB, Industrial Design, NREM, Architecture</t>
  </si>
  <si>
    <r>
      <t xml:space="preserve">Graduate Student Tuition </t>
    </r>
    <r>
      <rPr>
        <b/>
        <sz val="12"/>
        <rFont val="Arial"/>
        <family val="2"/>
      </rPr>
      <t>(Experiential Learning)</t>
    </r>
  </si>
  <si>
    <t>Experiential Learning Based Majors</t>
  </si>
  <si>
    <t>Masters - 1/4</t>
  </si>
  <si>
    <t>Masters - 1/2</t>
  </si>
  <si>
    <t>PhD - 1/4</t>
  </si>
  <si>
    <t>PhD - 1/2</t>
  </si>
  <si>
    <t>esc. Rate</t>
  </si>
  <si>
    <t>Fall/Spring Current Rates:</t>
  </si>
  <si>
    <t>Graduate (most majors)</t>
  </si>
  <si>
    <t xml:space="preserve">Most Majors </t>
  </si>
  <si>
    <t>Ag and Biosystems</t>
  </si>
  <si>
    <t>Business, Eng., and Seed Tech</t>
  </si>
  <si>
    <t>Experiential Learning</t>
  </si>
  <si>
    <t>Specific Grad Departments &amp; Architecture</t>
  </si>
  <si>
    <t>Summer Current Rates:</t>
  </si>
  <si>
    <t>Fall 2029</t>
  </si>
  <si>
    <t>Fall 2030</t>
  </si>
  <si>
    <t>Fall 2031</t>
  </si>
  <si>
    <t>Graduate Student Mandatory Fees</t>
  </si>
  <si>
    <t>Year</t>
  </si>
  <si>
    <t>Fall/Spring</t>
  </si>
  <si>
    <t>2024 Fall Rates &amp; 2025 Spring/Summer Rates</t>
  </si>
  <si>
    <t>2025 Fall Rates &amp; 2026 Spring/Summer Rates</t>
  </si>
  <si>
    <t>Spring 2030</t>
  </si>
  <si>
    <t>2026 Fall Rates &amp; 2027 Spring/Summer Rates</t>
  </si>
  <si>
    <t>Spring 2031</t>
  </si>
  <si>
    <t>2027 Fall Rates &amp; 2028 Spring/Summer Rates</t>
  </si>
  <si>
    <t>Spring 2032</t>
  </si>
  <si>
    <t>2028 Fall Rates &amp; 2029 Spring/Summer Rates</t>
  </si>
  <si>
    <t>2029 Fall Rates &amp; 2030 Spring/Summer Rates</t>
  </si>
  <si>
    <t>2030 Fall Rates &amp; 2031 Spring/Summer Rates</t>
  </si>
  <si>
    <t>2031 Fall Rates &amp; 2032 Spring/Summer Rates</t>
  </si>
  <si>
    <t>2032 Fall Rates &amp; 2033 Spring/Summer Rates</t>
  </si>
  <si>
    <t>2033 Fall Rates &amp; 2034 Spring/Summer Rates</t>
  </si>
  <si>
    <t>Summer 2030</t>
  </si>
  <si>
    <t>Summer 2031</t>
  </si>
  <si>
    <t>Summer 2032</t>
  </si>
  <si>
    <t xml:space="preserve"> (Business, Engineering &amp; Seed Tech)</t>
  </si>
  <si>
    <t>Masters - Min</t>
  </si>
  <si>
    <t>Masters-Max</t>
  </si>
  <si>
    <t>PhD - Min</t>
  </si>
  <si>
    <t>PhD - Max</t>
  </si>
  <si>
    <t>ABE - Ag &amp; Biotech Engineering</t>
  </si>
  <si>
    <t>Specific Graduate Departments</t>
  </si>
  <si>
    <t>Iowa State Travel Policies: http://www.controller.iastate.edu/travelinformation/homepage.htm</t>
  </si>
  <si>
    <t>Iowa State Mileage Guide: http://www.controller.iastate.edu/travelinformation/mileageguideiowa.pdf</t>
  </si>
  <si>
    <t>Domestic Travel</t>
  </si>
  <si>
    <t xml:space="preserve">Lodging  </t>
  </si>
  <si>
    <t>Meals</t>
  </si>
  <si>
    <t>Purpose &amp; Destination</t>
  </si>
  <si>
    <t># of People</t>
  </si>
  <si>
    <t>Airfare/ Person</t>
  </si>
  <si>
    <t># Nights</t>
  </si>
  <si>
    <t>Rate per Night</t>
  </si>
  <si>
    <t>Lodging Total</t>
  </si>
  <si>
    <t># Meal Days</t>
  </si>
  <si>
    <t>Meal Cost per Day</t>
  </si>
  <si>
    <t>Meal Total</t>
  </si>
  <si>
    <t>Ground Transportation</t>
  </si>
  <si>
    <t>Registration Per Person</t>
  </si>
  <si>
    <t>TOTAL</t>
  </si>
  <si>
    <t>Year 1 Total</t>
  </si>
  <si>
    <t>Year 2 Total</t>
  </si>
  <si>
    <t>Year 3 Total</t>
  </si>
  <si>
    <t>Year 4 Total</t>
  </si>
  <si>
    <t>Year 5 Total</t>
  </si>
  <si>
    <t>Dept of State Per Diem Rates: https://aoprals.state.gov/web920/per_diem.asp</t>
  </si>
  <si>
    <t>International Travel</t>
  </si>
  <si>
    <t>5/1/2025-6/30/2027</t>
  </si>
  <si>
    <t>Research Presentation</t>
  </si>
  <si>
    <t>Project meeting - Minneapolis</t>
  </si>
  <si>
    <t>Other - Planet Subscription</t>
  </si>
  <si>
    <r>
      <t xml:space="preserve">Task A: </t>
    </r>
    <r>
      <rPr>
        <sz val="10"/>
        <rFont val="Calibri"/>
        <family val="2"/>
      </rPr>
      <t>Maintain Existing DEP</t>
    </r>
  </si>
  <si>
    <r>
      <t xml:space="preserve">Task B: </t>
    </r>
    <r>
      <rPr>
        <sz val="11"/>
        <rFont val="Calibri"/>
        <family val="2"/>
      </rPr>
      <t>Expand DEP capacity in Minnesota</t>
    </r>
  </si>
  <si>
    <r>
      <t xml:space="preserve">Task C: </t>
    </r>
    <r>
      <rPr>
        <sz val="11"/>
        <rFont val="Calibri"/>
        <family val="2"/>
      </rPr>
      <t>Coordination with University of Minnesota and BWSR Staff</t>
    </r>
  </si>
  <si>
    <r>
      <t xml:space="preserve">Task D: </t>
    </r>
    <r>
      <rPr>
        <sz val="11"/>
        <rFont val="Calibri"/>
        <family val="2"/>
      </rPr>
      <t>Communicate Project Results with the Scientific Community</t>
    </r>
  </si>
  <si>
    <t>Brian</t>
  </si>
  <si>
    <t>Daryl</t>
  </si>
  <si>
    <t>GS</t>
  </si>
  <si>
    <t>Tuition</t>
  </si>
  <si>
    <t>Sum</t>
  </si>
  <si>
    <t>Other Direct</t>
  </si>
  <si>
    <r>
      <t xml:space="preserve">Task E: </t>
    </r>
    <r>
      <rPr>
        <sz val="11"/>
        <rFont val="Calibri"/>
        <family val="2"/>
      </rPr>
      <t>Modify DEP management files to dynamically assign tillage/planting dates based on field conditions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</si>
</sst>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quot;$&quot;#,##0"/>
    <numFmt numFmtId="165" formatCode="&quot;$&quot;#,##0.00"/>
    <numFmt numFmtId="166" formatCode="0.0%"/>
    <numFmt numFmtId="167" formatCode="mm/dd/yy;@"/>
    <numFmt numFmtId="168" formatCode="&quot;$&quot;#,##0\ ;\(&quot;$&quot;#,##0\)"/>
    <numFmt numFmtId="169" formatCode="_(* #,##0.000_);_(* \(#,##0.000\);_(* &quot;-&quot;???_);_(@_)"/>
    <numFmt numFmtId="170" formatCode="0.000%"/>
    <numFmt numFmtId="171" formatCode="_(&quot;$&quot;* #,##0_);_(&quot;$&quot;* \(#,##0\);_(&quot;$&quot;* &quot;-&quot;??_);_(@_)"/>
  </numFmts>
  <fonts count="72" x14ac:knownFonts="1">
    <font>
      <sz val="10"/>
      <name val="Arial"/>
    </font>
    <font>
      <sz val="11"/>
      <color theme="1"/>
      <name val="Calibri"/>
      <family val="2"/>
      <scheme val="minor"/>
    </font>
    <font>
      <sz val="11"/>
      <color theme="1"/>
      <name val="Calibri"/>
      <family val="2"/>
      <scheme val="minor"/>
    </font>
    <font>
      <sz val="10"/>
      <name val="Arial"/>
      <family val="2"/>
    </font>
    <font>
      <u/>
      <sz val="8.5"/>
      <color indexed="12"/>
      <name val="Arial"/>
      <family val="2"/>
    </font>
    <font>
      <sz val="8"/>
      <name val="Arial"/>
      <family val="2"/>
    </font>
    <font>
      <b/>
      <sz val="14"/>
      <color indexed="9"/>
      <name val="Arial"/>
      <family val="2"/>
    </font>
    <font>
      <sz val="8"/>
      <color indexed="10"/>
      <name val="Arial"/>
      <family val="2"/>
    </font>
    <font>
      <b/>
      <sz val="10"/>
      <color indexed="9"/>
      <name val="Arial"/>
      <family val="2"/>
    </font>
    <font>
      <b/>
      <sz val="12"/>
      <color indexed="9"/>
      <name val="Arial"/>
      <family val="2"/>
    </font>
    <font>
      <b/>
      <sz val="12"/>
      <name val="Arial"/>
      <family val="2"/>
    </font>
    <font>
      <sz val="12"/>
      <name val="Arial"/>
      <family val="2"/>
    </font>
    <font>
      <sz val="10"/>
      <name val="Arial"/>
      <family val="2"/>
    </font>
    <font>
      <b/>
      <sz val="10"/>
      <name val="Arial"/>
      <family val="2"/>
    </font>
    <font>
      <b/>
      <sz val="10"/>
      <color indexed="10"/>
      <name val="Arial"/>
      <family val="2"/>
    </font>
    <font>
      <sz val="10"/>
      <name val="Arial"/>
      <family val="2"/>
    </font>
    <font>
      <u/>
      <sz val="10"/>
      <color indexed="12"/>
      <name val="Arial"/>
      <family val="2"/>
    </font>
    <font>
      <sz val="8"/>
      <color indexed="22"/>
      <name val="Arial"/>
      <family val="2"/>
    </font>
    <font>
      <b/>
      <sz val="10"/>
      <color indexed="22"/>
      <name val="Arial"/>
      <family val="2"/>
    </font>
    <font>
      <sz val="10"/>
      <color indexed="22"/>
      <name val="Arial"/>
      <family val="2"/>
    </font>
    <font>
      <b/>
      <u/>
      <sz val="10"/>
      <color indexed="10"/>
      <name val="Arial"/>
      <family val="2"/>
    </font>
    <font>
      <b/>
      <u/>
      <sz val="10"/>
      <name val="Arial"/>
      <family val="2"/>
    </font>
    <font>
      <b/>
      <sz val="10"/>
      <color rgb="FFFF0000"/>
      <name val="Arial"/>
      <family val="2"/>
    </font>
    <font>
      <sz val="12"/>
      <color indexed="10"/>
      <name val="Arial"/>
      <family val="2"/>
    </font>
    <font>
      <b/>
      <sz val="12"/>
      <color indexed="10"/>
      <name val="Arial"/>
      <family val="2"/>
    </font>
    <font>
      <sz val="9"/>
      <name val="Arial"/>
      <family val="2"/>
    </font>
    <font>
      <b/>
      <u/>
      <sz val="10"/>
      <color indexed="8"/>
      <name val="Arial"/>
      <family val="2"/>
    </font>
    <font>
      <sz val="10"/>
      <color indexed="8"/>
      <name val="Arial"/>
      <family val="2"/>
    </font>
    <font>
      <b/>
      <sz val="8"/>
      <color theme="1"/>
      <name val="Arial"/>
      <family val="2"/>
    </font>
    <font>
      <sz val="10"/>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0"/>
      <color rgb="FFFF0000"/>
      <name val="Arial"/>
      <family val="2"/>
    </font>
    <font>
      <sz val="10"/>
      <color theme="0" tint="-0.14999847407452621"/>
      <name val="Arial"/>
      <family val="2"/>
    </font>
    <font>
      <b/>
      <sz val="10"/>
      <color theme="1"/>
      <name val="Arial"/>
      <family val="2"/>
    </font>
    <font>
      <sz val="12"/>
      <color indexed="9"/>
      <name val="Arial"/>
      <family val="2"/>
    </font>
    <font>
      <b/>
      <sz val="12"/>
      <color theme="1"/>
      <name val="Arial"/>
      <family val="2"/>
    </font>
    <font>
      <sz val="8"/>
      <color theme="0"/>
      <name val="Arial"/>
      <family val="2"/>
    </font>
    <font>
      <sz val="8"/>
      <color rgb="FFFF0000"/>
      <name val="Arial"/>
      <family val="2"/>
    </font>
    <font>
      <b/>
      <sz val="12"/>
      <color theme="4" tint="0.39997558519241921"/>
      <name val="Arial"/>
      <family val="2"/>
    </font>
    <font>
      <sz val="10"/>
      <color theme="0"/>
      <name val="Arial"/>
      <family val="2"/>
    </font>
    <font>
      <b/>
      <sz val="11"/>
      <color theme="0"/>
      <name val="Times New Roman"/>
      <family val="1"/>
    </font>
    <font>
      <b/>
      <i/>
      <sz val="11"/>
      <color theme="0"/>
      <name val="Times New Roman"/>
      <family val="1"/>
    </font>
    <font>
      <sz val="11"/>
      <name val="Times New Roman"/>
      <family val="1"/>
    </font>
    <font>
      <i/>
      <sz val="11"/>
      <name val="Times New Roman"/>
      <family val="1"/>
    </font>
    <font>
      <b/>
      <sz val="11"/>
      <color theme="1"/>
      <name val="Times New Roman"/>
      <family val="1"/>
    </font>
    <font>
      <b/>
      <i/>
      <sz val="11"/>
      <color theme="1"/>
      <name val="Times New Roman"/>
      <family val="1"/>
    </font>
    <font>
      <u/>
      <sz val="12"/>
      <color indexed="12"/>
      <name val="Arial"/>
      <family val="2"/>
    </font>
    <font>
      <u/>
      <sz val="11"/>
      <color indexed="12"/>
      <name val="Arial"/>
      <family val="2"/>
    </font>
    <font>
      <sz val="8"/>
      <name val="Arial"/>
      <family val="2"/>
    </font>
    <font>
      <sz val="10"/>
      <name val="Arial"/>
      <family val="2"/>
    </font>
    <font>
      <sz val="11"/>
      <name val="Calibri"/>
      <family val="2"/>
    </font>
    <font>
      <b/>
      <sz val="11"/>
      <name val="Calibri"/>
      <family val="2"/>
    </font>
    <font>
      <b/>
      <sz val="10"/>
      <name val="Calibri"/>
      <family val="2"/>
    </font>
    <font>
      <sz val="10"/>
      <name val="Calibri"/>
      <family val="2"/>
    </font>
  </fonts>
  <fills count="62">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9"/>
        <bgColor indexed="64"/>
      </patternFill>
    </fill>
    <fill>
      <patternFill patternType="solid">
        <fgColor indexed="41"/>
        <bgColor indexed="64"/>
      </patternFill>
    </fill>
    <fill>
      <patternFill patternType="solid">
        <fgColor rgb="FFC0C0C0"/>
        <bgColor indexed="64"/>
      </patternFill>
    </fill>
    <fill>
      <patternFill patternType="solid">
        <fgColor rgb="FFFFFF9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bgColor indexed="64"/>
      </patternFill>
    </fill>
    <fill>
      <patternFill patternType="solid">
        <fgColor rgb="FF92D050"/>
        <bgColor indexed="64"/>
      </patternFill>
    </fill>
    <fill>
      <patternFill patternType="solid">
        <fgColor theme="4" tint="0.79998168889431442"/>
        <bgColor indexed="64"/>
      </patternFill>
    </fill>
    <fill>
      <patternFill patternType="solid">
        <fgColor theme="0"/>
        <bgColor indexed="64"/>
      </patternFill>
    </fill>
    <fill>
      <patternFill patternType="solid">
        <fgColor theme="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50637C"/>
        <bgColor indexed="64"/>
      </patternFill>
    </fill>
    <fill>
      <patternFill patternType="solid">
        <fgColor theme="3" tint="-0.499984740745262"/>
        <bgColor indexed="64"/>
      </patternFill>
    </fill>
    <fill>
      <patternFill patternType="solid">
        <fgColor theme="8"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2" tint="-0.249977111117893"/>
        <bgColor indexed="64"/>
      </patternFill>
    </fill>
  </fills>
  <borders count="76">
    <border>
      <left/>
      <right/>
      <top/>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bottom style="thin">
        <color auto="1"/>
      </bottom>
      <diagonal/>
    </border>
    <border>
      <left style="medium">
        <color auto="1"/>
      </left>
      <right style="medium">
        <color auto="1"/>
      </right>
      <top style="medium">
        <color auto="1"/>
      </top>
      <bottom/>
      <diagonal/>
    </border>
    <border>
      <left/>
      <right style="medium">
        <color auto="1"/>
      </right>
      <top/>
      <bottom style="thin">
        <color auto="1"/>
      </bottom>
      <diagonal/>
    </border>
    <border>
      <left/>
      <right/>
      <top/>
      <bottom style="medium">
        <color auto="1"/>
      </bottom>
      <diagonal/>
    </border>
    <border>
      <left style="medium">
        <color auto="1"/>
      </left>
      <right/>
      <top/>
      <bottom style="medium">
        <color auto="1"/>
      </bottom>
      <diagonal/>
    </border>
    <border>
      <left/>
      <right/>
      <top style="medium">
        <color auto="1"/>
      </top>
      <bottom/>
      <diagonal/>
    </border>
    <border>
      <left style="medium">
        <color auto="1"/>
      </left>
      <right/>
      <top style="medium">
        <color auto="1"/>
      </top>
      <bottom/>
      <diagonal/>
    </border>
    <border>
      <left style="thin">
        <color auto="1"/>
      </left>
      <right style="thin">
        <color auto="1"/>
      </right>
      <top/>
      <bottom/>
      <diagonal/>
    </border>
    <border>
      <left style="double">
        <color theme="4" tint="0.499984740745262"/>
      </left>
      <right/>
      <top style="double">
        <color theme="4" tint="0.499984740745262"/>
      </top>
      <bottom style="double">
        <color theme="4" tint="0.499984740745262"/>
      </bottom>
      <diagonal/>
    </border>
    <border>
      <left/>
      <right/>
      <top style="double">
        <color theme="4" tint="0.499984740745262"/>
      </top>
      <bottom style="double">
        <color theme="4" tint="0.499984740745262"/>
      </bottom>
      <diagonal/>
    </border>
    <border>
      <left style="double">
        <color theme="4" tint="0.499984740745262"/>
      </left>
      <right/>
      <top style="double">
        <color theme="4" tint="0.499984740745262"/>
      </top>
      <bottom/>
      <diagonal/>
    </border>
    <border>
      <left/>
      <right/>
      <top style="double">
        <color theme="4" tint="0.499984740745262"/>
      </top>
      <bottom/>
      <diagonal/>
    </border>
    <border>
      <left style="double">
        <color theme="4" tint="0.499984740745262"/>
      </left>
      <right style="double">
        <color theme="4" tint="0.499984740745262"/>
      </right>
      <top style="double">
        <color theme="4" tint="0.499984740745262"/>
      </top>
      <bottom style="double">
        <color theme="4" tint="0.499984740745262"/>
      </bottom>
      <diagonal/>
    </border>
    <border>
      <left style="thin">
        <color theme="4" tint="0.499984740745262"/>
      </left>
      <right style="thin">
        <color theme="4" tint="0.499984740745262"/>
      </right>
      <top style="double">
        <color theme="4"/>
      </top>
      <bottom style="thin">
        <color theme="4" tint="0.499984740745262"/>
      </bottom>
      <diagonal/>
    </border>
    <border>
      <left style="double">
        <color theme="4" tint="0.499984740745262"/>
      </left>
      <right/>
      <top style="thin">
        <color theme="4"/>
      </top>
      <bottom style="double">
        <color theme="4"/>
      </bottom>
      <diagonal/>
    </border>
    <border>
      <left/>
      <right style="medium">
        <color theme="4"/>
      </right>
      <top style="thin">
        <color theme="4"/>
      </top>
      <bottom style="double">
        <color theme="4"/>
      </bottom>
      <diagonal/>
    </border>
    <border>
      <left style="double">
        <color theme="4" tint="0.499984740745262"/>
      </left>
      <right style="thin">
        <color theme="4" tint="0.499984740745262"/>
      </right>
      <top style="double">
        <color theme="4"/>
      </top>
      <bottom style="thin">
        <color theme="4" tint="0.499984740745262"/>
      </bottom>
      <diagonal/>
    </border>
    <border>
      <left style="thin">
        <color theme="4" tint="0.499984740745262"/>
      </left>
      <right style="thin">
        <color theme="4" tint="0.499984740745262"/>
      </right>
      <top style="double">
        <color theme="4"/>
      </top>
      <bottom/>
      <diagonal/>
    </border>
    <border>
      <left style="thin">
        <color theme="4" tint="0.499984740745262"/>
      </left>
      <right style="medium">
        <color theme="4"/>
      </right>
      <top style="double">
        <color theme="4"/>
      </top>
      <bottom style="thin">
        <color theme="4" tint="0.499984740745262"/>
      </bottom>
      <diagonal/>
    </border>
    <border>
      <left style="double">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medium">
        <color theme="4"/>
      </right>
      <top style="thin">
        <color theme="4" tint="0.499984740745262"/>
      </top>
      <bottom style="thin">
        <color theme="4" tint="0.499984740745262"/>
      </bottom>
      <diagonal/>
    </border>
    <border>
      <left style="double">
        <color theme="4" tint="0.499984740745262"/>
      </left>
      <right style="thin">
        <color theme="4" tint="0.499984740745262"/>
      </right>
      <top/>
      <bottom style="thin">
        <color theme="4"/>
      </bottom>
      <diagonal/>
    </border>
    <border>
      <left style="thin">
        <color theme="4" tint="0.499984740745262"/>
      </left>
      <right style="thin">
        <color theme="4" tint="0.499984740745262"/>
      </right>
      <top/>
      <bottom style="thin">
        <color theme="4"/>
      </bottom>
      <diagonal/>
    </border>
    <border>
      <left style="thin">
        <color theme="4" tint="0.499984740745262"/>
      </left>
      <right style="medium">
        <color theme="4"/>
      </right>
      <top/>
      <bottom style="thin">
        <color theme="4"/>
      </bottom>
      <diagonal/>
    </border>
    <border>
      <left style="double">
        <color theme="4" tint="0.499984740745262"/>
      </left>
      <right style="thin">
        <color theme="4" tint="0.499984740745262"/>
      </right>
      <top style="double">
        <color theme="4"/>
      </top>
      <bottom/>
      <diagonal/>
    </border>
    <border>
      <left style="thin">
        <color theme="4" tint="0.499984740745262"/>
      </left>
      <right style="thin">
        <color theme="4" tint="0.499984740745262"/>
      </right>
      <top style="thin">
        <color theme="4" tint="0.499984740745262"/>
      </top>
      <bottom/>
      <diagonal/>
    </border>
    <border>
      <left style="thin">
        <color theme="4" tint="0.499984740745262"/>
      </left>
      <right style="medium">
        <color theme="4"/>
      </right>
      <top style="double">
        <color theme="4"/>
      </top>
      <bottom/>
      <diagonal/>
    </border>
    <border>
      <left style="thin">
        <color theme="4" tint="0.499984740745262"/>
      </left>
      <right/>
      <top style="double">
        <color theme="4"/>
      </top>
      <bottom/>
      <diagonal/>
    </border>
    <border>
      <left style="thin">
        <color theme="4" tint="0.499984740745262"/>
      </left>
      <right/>
      <top style="thin">
        <color theme="4" tint="0.499984740745262"/>
      </top>
      <bottom style="thin">
        <color theme="4" tint="0.499984740745262"/>
      </bottom>
      <diagonal/>
    </border>
    <border>
      <left/>
      <right/>
      <top style="thin">
        <color theme="4"/>
      </top>
      <bottom/>
      <diagonal/>
    </border>
    <border>
      <left style="thin">
        <color theme="4" tint="0.499984740745262"/>
      </left>
      <right style="thin">
        <color theme="4" tint="0.499984740745262"/>
      </right>
      <top/>
      <bottom/>
      <diagonal/>
    </border>
    <border>
      <left style="double">
        <color theme="4" tint="0.499984740745262"/>
      </left>
      <right/>
      <top/>
      <bottom style="double">
        <color theme="4"/>
      </bottom>
      <diagonal/>
    </border>
    <border>
      <left/>
      <right/>
      <top/>
      <bottom style="double">
        <color theme="4"/>
      </bottom>
      <diagonal/>
    </border>
    <border>
      <left/>
      <right style="medium">
        <color theme="4"/>
      </right>
      <top/>
      <bottom style="double">
        <color theme="4"/>
      </bottom>
      <diagonal/>
    </border>
    <border>
      <left/>
      <right style="medium">
        <color theme="4"/>
      </right>
      <top style="double">
        <color theme="4" tint="0.499984740745262"/>
      </top>
      <bottom style="double">
        <color theme="4"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89">
    <xf numFmtId="0" fontId="0" fillId="0" borderId="0"/>
    <xf numFmtId="43" fontId="15" fillId="0" borderId="0" applyFont="0" applyFill="0" applyBorder="0" applyAlignment="0" applyProtection="0"/>
    <xf numFmtId="43" fontId="12" fillId="0" borderId="0" applyFont="0" applyFill="0" applyBorder="0" applyAlignment="0" applyProtection="0"/>
    <xf numFmtId="3" fontId="17" fillId="0" borderId="0" applyFont="0" applyFill="0" applyBorder="0" applyAlignment="0" applyProtection="0"/>
    <xf numFmtId="44" fontId="15" fillId="0" borderId="0" applyFont="0" applyFill="0" applyBorder="0" applyAlignment="0" applyProtection="0"/>
    <xf numFmtId="44" fontId="12" fillId="0" borderId="0" applyFont="0" applyFill="0" applyBorder="0" applyAlignment="0" applyProtection="0"/>
    <xf numFmtId="168" fontId="17" fillId="0" borderId="0" applyFont="0" applyFill="0" applyBorder="0" applyAlignment="0" applyProtection="0"/>
    <xf numFmtId="0" fontId="17" fillId="0" borderId="0" applyFont="0" applyFill="0" applyBorder="0" applyAlignment="0" applyProtection="0"/>
    <xf numFmtId="2" fontId="17" fillId="0" borderId="0" applyFon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4"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2" fillId="0" borderId="0"/>
    <xf numFmtId="9" fontId="3" fillId="0" borderId="0" applyFont="0" applyFill="0" applyBorder="0" applyAlignment="0" applyProtection="0"/>
    <xf numFmtId="9" fontId="15"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17" fillId="0" borderId="1" applyNumberFormat="0" applyFont="0" applyFill="0" applyAlignment="0" applyProtection="0"/>
    <xf numFmtId="0" fontId="30" fillId="0" borderId="0" applyNumberFormat="0" applyFill="0" applyBorder="0" applyAlignment="0" applyProtection="0"/>
    <xf numFmtId="0" fontId="33" fillId="0" borderId="17" applyNumberFormat="0" applyFill="0" applyAlignment="0" applyProtection="0"/>
    <xf numFmtId="0" fontId="33" fillId="0" borderId="0" applyNumberFormat="0" applyFill="0" applyBorder="0" applyAlignment="0" applyProtection="0"/>
    <xf numFmtId="0" fontId="34" fillId="9" borderId="0" applyNumberFormat="0" applyBorder="0" applyAlignment="0" applyProtection="0"/>
    <xf numFmtId="0" fontId="35" fillId="10" borderId="0" applyNumberFormat="0" applyBorder="0" applyAlignment="0" applyProtection="0"/>
    <xf numFmtId="0" fontId="36" fillId="11" borderId="0" applyNumberFormat="0" applyBorder="0" applyAlignment="0" applyProtection="0"/>
    <xf numFmtId="0" fontId="37" fillId="12" borderId="18" applyNumberFormat="0" applyAlignment="0" applyProtection="0"/>
    <xf numFmtId="0" fontId="38" fillId="13" borderId="19" applyNumberFormat="0" applyAlignment="0" applyProtection="0"/>
    <xf numFmtId="0" fontId="39" fillId="13" borderId="18" applyNumberFormat="0" applyAlignment="0" applyProtection="0"/>
    <xf numFmtId="0" fontId="40" fillId="0" borderId="20" applyNumberFormat="0" applyFill="0" applyAlignment="0" applyProtection="0"/>
    <xf numFmtId="0" fontId="41" fillId="14" borderId="21" applyNumberFormat="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5"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45" fillId="19" borderId="0" applyNumberFormat="0" applyBorder="0" applyAlignment="0" applyProtection="0"/>
    <xf numFmtId="0" fontId="45"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45" fillId="23" borderId="0" applyNumberFormat="0" applyBorder="0" applyAlignment="0" applyProtection="0"/>
    <xf numFmtId="0" fontId="45"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45" fillId="27" borderId="0" applyNumberFormat="0" applyBorder="0" applyAlignment="0" applyProtection="0"/>
    <xf numFmtId="0" fontId="45"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45" fillId="31" borderId="0" applyNumberFormat="0" applyBorder="0" applyAlignment="0" applyProtection="0"/>
    <xf numFmtId="0" fontId="45"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45" fillId="35" borderId="0" applyNumberFormat="0" applyBorder="0" applyAlignment="0" applyProtection="0"/>
    <xf numFmtId="0" fontId="45"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45" fillId="39" borderId="0" applyNumberFormat="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2" fillId="0" borderId="0"/>
    <xf numFmtId="0" fontId="31" fillId="0" borderId="15" applyNumberFormat="0" applyFill="0" applyAlignment="0" applyProtection="0"/>
    <xf numFmtId="0" fontId="32" fillId="0" borderId="16" applyNumberFormat="0" applyFill="0" applyAlignment="0" applyProtection="0"/>
    <xf numFmtId="0" fontId="2" fillId="15" borderId="22" applyNumberFormat="0" applyFont="0" applyAlignment="0" applyProtection="0"/>
    <xf numFmtId="9" fontId="2" fillId="0" borderId="0" applyFont="0" applyFill="0" applyBorder="0" applyAlignment="0" applyProtection="0"/>
    <xf numFmtId="0" fontId="44" fillId="0" borderId="23" applyNumberFormat="0" applyFill="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0" borderId="0"/>
    <xf numFmtId="0" fontId="1" fillId="15" borderId="22" applyNumberFormat="0" applyFont="0" applyAlignment="0" applyProtection="0"/>
    <xf numFmtId="9" fontId="1" fillId="0" borderId="0" applyFont="0" applyFill="0" applyBorder="0" applyAlignment="0" applyProtection="0"/>
    <xf numFmtId="9" fontId="48" fillId="0" borderId="0" applyFont="0" applyFill="0" applyBorder="0" applyAlignment="0" applyProtection="0"/>
    <xf numFmtId="0" fontId="32" fillId="0" borderId="16" applyNumberFormat="0" applyFill="0" applyAlignment="0" applyProtection="0"/>
    <xf numFmtId="0" fontId="44" fillId="0" borderId="23" applyNumberFormat="0" applyFill="0" applyAlignment="0" applyProtection="0"/>
    <xf numFmtId="44" fontId="67" fillId="0" borderId="0" applyFont="0" applyFill="0" applyBorder="0" applyAlignment="0" applyProtection="0"/>
  </cellStyleXfs>
  <cellXfs count="469">
    <xf numFmtId="0" fontId="0" fillId="0" borderId="0" xfId="0"/>
    <xf numFmtId="0" fontId="7" fillId="0" borderId="0" xfId="0" applyFont="1"/>
    <xf numFmtId="165" fontId="7" fillId="0" borderId="0" xfId="0" applyNumberFormat="1" applyFont="1"/>
    <xf numFmtId="0" fontId="13" fillId="2" borderId="0" xfId="0" applyFont="1" applyFill="1" applyAlignment="1">
      <alignment horizontal="right"/>
    </xf>
    <xf numFmtId="0" fontId="10" fillId="2" borderId="0" xfId="0" applyFont="1" applyFill="1" applyAlignment="1">
      <alignment horizontal="right"/>
    </xf>
    <xf numFmtId="0" fontId="10" fillId="2" borderId="0" xfId="0" applyFont="1" applyFill="1"/>
    <xf numFmtId="0" fontId="13" fillId="2" borderId="0" xfId="0" applyFont="1" applyFill="1"/>
    <xf numFmtId="0" fontId="0" fillId="2" borderId="0" xfId="0" applyFill="1"/>
    <xf numFmtId="0" fontId="11" fillId="0" borderId="0" xfId="0" applyFont="1"/>
    <xf numFmtId="0" fontId="23" fillId="0" borderId="0" xfId="0" applyFont="1"/>
    <xf numFmtId="0" fontId="7" fillId="0" borderId="0" xfId="0" applyFont="1" applyAlignment="1">
      <alignment horizontal="right"/>
    </xf>
    <xf numFmtId="0" fontId="11" fillId="2" borderId="0" xfId="0" applyFont="1" applyFill="1" applyAlignment="1">
      <alignment horizontal="center"/>
    </xf>
    <xf numFmtId="164" fontId="10" fillId="2" borderId="2" xfId="0" applyNumberFormat="1" applyFont="1" applyFill="1" applyBorder="1" applyAlignment="1">
      <alignment horizontal="right"/>
    </xf>
    <xf numFmtId="164" fontId="10" fillId="7" borderId="2" xfId="0" applyNumberFormat="1" applyFont="1" applyFill="1" applyBorder="1" applyAlignment="1">
      <alignment horizontal="right"/>
    </xf>
    <xf numFmtId="164" fontId="3" fillId="7" borderId="2" xfId="0" applyNumberFormat="1" applyFont="1" applyFill="1" applyBorder="1" applyAlignment="1">
      <alignment horizontal="right"/>
    </xf>
    <xf numFmtId="164" fontId="11" fillId="2" borderId="0" xfId="0" applyNumberFormat="1" applyFont="1" applyFill="1" applyAlignment="1">
      <alignment horizontal="center"/>
    </xf>
    <xf numFmtId="164" fontId="3" fillId="6" borderId="0" xfId="0" applyNumberFormat="1" applyFont="1" applyFill="1" applyAlignment="1">
      <alignment horizontal="center"/>
    </xf>
    <xf numFmtId="164" fontId="3" fillId="2" borderId="0" xfId="0" applyNumberFormat="1" applyFont="1" applyFill="1" applyAlignment="1">
      <alignment horizontal="center"/>
    </xf>
    <xf numFmtId="164" fontId="11" fillId="6" borderId="0" xfId="0" applyNumberFormat="1" applyFont="1" applyFill="1" applyAlignment="1">
      <alignment horizontal="center"/>
    </xf>
    <xf numFmtId="164" fontId="3" fillId="2" borderId="0" xfId="0" applyNumberFormat="1" applyFont="1" applyFill="1" applyAlignment="1">
      <alignment horizontal="right"/>
    </xf>
    <xf numFmtId="164" fontId="3" fillId="6" borderId="0" xfId="0" applyNumberFormat="1" applyFont="1" applyFill="1" applyAlignment="1">
      <alignment horizontal="right"/>
    </xf>
    <xf numFmtId="164" fontId="3" fillId="7" borderId="2" xfId="0" applyNumberFormat="1" applyFont="1" applyFill="1" applyBorder="1" applyAlignment="1" applyProtection="1">
      <alignment horizontal="right"/>
      <protection locked="0"/>
    </xf>
    <xf numFmtId="164" fontId="3" fillId="7" borderId="5" xfId="0" applyNumberFormat="1" applyFont="1" applyFill="1" applyBorder="1" applyAlignment="1" applyProtection="1">
      <alignment horizontal="right"/>
      <protection locked="0"/>
    </xf>
    <xf numFmtId="0" fontId="3" fillId="2" borderId="0" xfId="0" applyFont="1" applyFill="1" applyProtection="1">
      <protection locked="0"/>
    </xf>
    <xf numFmtId="0" fontId="10" fillId="6" borderId="0" xfId="0" applyFont="1" applyFill="1" applyProtection="1">
      <protection locked="0"/>
    </xf>
    <xf numFmtId="0" fontId="10" fillId="2" borderId="0" xfId="0" applyFont="1" applyFill="1" applyProtection="1">
      <protection locked="0"/>
    </xf>
    <xf numFmtId="0" fontId="11" fillId="2" borderId="0" xfId="0" applyFont="1" applyFill="1" applyProtection="1">
      <protection locked="0"/>
    </xf>
    <xf numFmtId="0" fontId="25" fillId="7" borderId="2" xfId="0" applyFont="1" applyFill="1" applyBorder="1" applyAlignment="1" applyProtection="1">
      <alignment horizontal="center" wrapText="1"/>
      <protection locked="0"/>
    </xf>
    <xf numFmtId="0" fontId="3" fillId="2" borderId="0" xfId="0" applyFont="1" applyFill="1" applyAlignment="1" applyProtection="1">
      <alignment horizontal="right"/>
      <protection locked="0"/>
    </xf>
    <xf numFmtId="0" fontId="0" fillId="2" borderId="0" xfId="0" applyFill="1" applyAlignment="1" applyProtection="1">
      <alignment horizontal="right"/>
      <protection locked="0"/>
    </xf>
    <xf numFmtId="164" fontId="10" fillId="6" borderId="2" xfId="0" applyNumberFormat="1" applyFont="1" applyFill="1" applyBorder="1" applyAlignment="1" applyProtection="1">
      <alignment horizontal="right"/>
      <protection locked="0"/>
    </xf>
    <xf numFmtId="164" fontId="10" fillId="7" borderId="2" xfId="0" applyNumberFormat="1" applyFont="1" applyFill="1" applyBorder="1" applyAlignment="1" applyProtection="1">
      <alignment horizontal="right"/>
      <protection locked="0"/>
    </xf>
    <xf numFmtId="164" fontId="10" fillId="7" borderId="5" xfId="0" applyNumberFormat="1" applyFont="1" applyFill="1" applyBorder="1" applyAlignment="1" applyProtection="1">
      <alignment horizontal="right"/>
      <protection locked="0"/>
    </xf>
    <xf numFmtId="164" fontId="10" fillId="6" borderId="5" xfId="0" applyNumberFormat="1" applyFont="1" applyFill="1" applyBorder="1" applyAlignment="1" applyProtection="1">
      <alignment horizontal="right"/>
      <protection locked="0"/>
    </xf>
    <xf numFmtId="2" fontId="3" fillId="2" borderId="0" xfId="0" applyNumberFormat="1" applyFont="1" applyFill="1" applyAlignment="1" applyProtection="1">
      <alignment horizontal="right"/>
      <protection locked="0"/>
    </xf>
    <xf numFmtId="0" fontId="3" fillId="2" borderId="0" xfId="0" applyFont="1" applyFill="1" applyAlignment="1" applyProtection="1">
      <alignment horizontal="left"/>
      <protection locked="0"/>
    </xf>
    <xf numFmtId="0" fontId="3" fillId="6" borderId="0" xfId="0" applyFont="1" applyFill="1" applyProtection="1">
      <protection locked="0"/>
    </xf>
    <xf numFmtId="0" fontId="3" fillId="6" borderId="0" xfId="0" applyFont="1" applyFill="1" applyAlignment="1" applyProtection="1">
      <alignment horizontal="right"/>
      <protection locked="0"/>
    </xf>
    <xf numFmtId="164" fontId="11" fillId="6" borderId="0" xfId="0" applyNumberFormat="1" applyFont="1" applyFill="1" applyAlignment="1" applyProtection="1">
      <alignment horizontal="center"/>
      <protection locked="0"/>
    </xf>
    <xf numFmtId="164" fontId="3" fillId="6" borderId="0" xfId="0" applyNumberFormat="1" applyFont="1" applyFill="1" applyAlignment="1" applyProtection="1">
      <alignment horizontal="center"/>
      <protection locked="0"/>
    </xf>
    <xf numFmtId="0" fontId="11" fillId="2" borderId="0" xfId="0" applyFont="1" applyFill="1" applyAlignment="1" applyProtection="1">
      <alignment horizontal="right"/>
      <protection locked="0"/>
    </xf>
    <xf numFmtId="166" fontId="3" fillId="2" borderId="0" xfId="0" applyNumberFormat="1" applyFont="1" applyFill="1" applyAlignment="1" applyProtection="1">
      <alignment horizontal="right"/>
      <protection locked="0"/>
    </xf>
    <xf numFmtId="166" fontId="3" fillId="2" borderId="0" xfId="14" applyNumberFormat="1" applyFont="1" applyFill="1" applyProtection="1">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2" fontId="11" fillId="2" borderId="0" xfId="0" applyNumberFormat="1" applyFont="1" applyFill="1" applyAlignment="1" applyProtection="1">
      <alignment horizontal="right"/>
      <protection locked="0"/>
    </xf>
    <xf numFmtId="0" fontId="13" fillId="6" borderId="0" xfId="0" applyFont="1" applyFill="1" applyAlignment="1" applyProtection="1">
      <alignment horizontal="left"/>
      <protection locked="0"/>
    </xf>
    <xf numFmtId="0" fontId="13" fillId="6" borderId="0" xfId="0" applyFont="1" applyFill="1" applyAlignment="1" applyProtection="1">
      <alignment horizontal="right"/>
      <protection locked="0"/>
    </xf>
    <xf numFmtId="2" fontId="3" fillId="6" borderId="0" xfId="0" applyNumberFormat="1" applyFont="1" applyFill="1" applyAlignment="1" applyProtection="1">
      <alignment horizontal="right"/>
      <protection locked="0"/>
    </xf>
    <xf numFmtId="164" fontId="13" fillId="6" borderId="0" xfId="0" applyNumberFormat="1" applyFont="1" applyFill="1" applyAlignment="1" applyProtection="1">
      <alignment horizontal="right"/>
      <protection locked="0"/>
    </xf>
    <xf numFmtId="164" fontId="3" fillId="6" borderId="0" xfId="0" applyNumberFormat="1" applyFont="1" applyFill="1" applyAlignment="1" applyProtection="1">
      <alignment horizontal="right"/>
      <protection locked="0"/>
    </xf>
    <xf numFmtId="0" fontId="13" fillId="2" borderId="0" xfId="0" applyFont="1" applyFill="1" applyAlignment="1" applyProtection="1">
      <alignment horizontal="left"/>
      <protection locked="0"/>
    </xf>
    <xf numFmtId="0" fontId="10" fillId="6" borderId="0" xfId="0" applyFont="1" applyFill="1" applyAlignment="1" applyProtection="1">
      <alignment horizontal="right"/>
      <protection locked="0"/>
    </xf>
    <xf numFmtId="164" fontId="13" fillId="7" borderId="2" xfId="0" applyNumberFormat="1" applyFont="1" applyFill="1" applyBorder="1" applyAlignment="1" applyProtection="1">
      <alignment horizontal="right"/>
      <protection locked="0"/>
    </xf>
    <xf numFmtId="0" fontId="3" fillId="6" borderId="0" xfId="0" applyFont="1" applyFill="1" applyAlignment="1" applyProtection="1">
      <alignment horizontal="left"/>
      <protection locked="0"/>
    </xf>
    <xf numFmtId="165" fontId="3" fillId="6" borderId="0" xfId="0" applyNumberFormat="1" applyFont="1" applyFill="1" applyProtection="1">
      <protection locked="0"/>
    </xf>
    <xf numFmtId="2" fontId="11" fillId="2" borderId="0" xfId="0" applyNumberFormat="1" applyFont="1" applyFill="1" applyProtection="1">
      <protection locked="0"/>
    </xf>
    <xf numFmtId="0" fontId="11" fillId="2" borderId="0" xfId="0" applyFont="1" applyFill="1" applyAlignment="1" applyProtection="1">
      <alignment horizontal="left"/>
      <protection locked="0"/>
    </xf>
    <xf numFmtId="0" fontId="24" fillId="2" borderId="0" xfId="0" applyFont="1" applyFill="1" applyAlignment="1" applyProtection="1">
      <alignment horizontal="left"/>
      <protection locked="0"/>
    </xf>
    <xf numFmtId="0" fontId="3" fillId="0" borderId="0" xfId="0" applyFont="1" applyProtection="1">
      <protection locked="0"/>
    </xf>
    <xf numFmtId="0" fontId="3" fillId="0" borderId="0" xfId="0" applyFont="1" applyAlignment="1" applyProtection="1">
      <alignment horizontal="right"/>
      <protection locked="0"/>
    </xf>
    <xf numFmtId="164" fontId="3" fillId="0" borderId="0" xfId="0" applyNumberFormat="1" applyFont="1" applyAlignment="1" applyProtection="1">
      <alignment horizontal="right"/>
      <protection locked="0"/>
    </xf>
    <xf numFmtId="0" fontId="0" fillId="0" borderId="0" xfId="0" applyProtection="1">
      <protection locked="0"/>
    </xf>
    <xf numFmtId="0" fontId="7" fillId="0" borderId="0" xfId="0" applyFont="1" applyProtection="1">
      <protection locked="0"/>
    </xf>
    <xf numFmtId="0" fontId="0" fillId="0" borderId="0" xfId="0" applyAlignment="1" applyProtection="1">
      <alignment wrapText="1"/>
      <protection locked="0"/>
    </xf>
    <xf numFmtId="0" fontId="22" fillId="0" borderId="0" xfId="0" applyFont="1" applyProtection="1">
      <protection locked="0"/>
    </xf>
    <xf numFmtId="0" fontId="20" fillId="0" borderId="0" xfId="0" applyFont="1" applyProtection="1">
      <protection locked="0"/>
    </xf>
    <xf numFmtId="0" fontId="26" fillId="0" borderId="0" xfId="0" applyFont="1" applyProtection="1">
      <protection locked="0"/>
    </xf>
    <xf numFmtId="0" fontId="27" fillId="0" borderId="0" xfId="0" applyFont="1" applyProtection="1">
      <protection locked="0"/>
    </xf>
    <xf numFmtId="10" fontId="0" fillId="0" borderId="0" xfId="0" applyNumberFormat="1" applyProtection="1">
      <protection locked="0"/>
    </xf>
    <xf numFmtId="9" fontId="27" fillId="0" borderId="9" xfId="14" applyFont="1" applyBorder="1" applyAlignment="1" applyProtection="1">
      <alignment horizontal="left"/>
      <protection locked="0"/>
    </xf>
    <xf numFmtId="9" fontId="27" fillId="0" borderId="11" xfId="14" applyFont="1" applyBorder="1" applyAlignment="1" applyProtection="1">
      <alignment horizontal="left"/>
      <protection locked="0"/>
    </xf>
    <xf numFmtId="166" fontId="0" fillId="0" borderId="0" xfId="0" applyNumberFormat="1" applyProtection="1">
      <protection locked="0"/>
    </xf>
    <xf numFmtId="9" fontId="27" fillId="0" borderId="12" xfId="14" applyFont="1" applyBorder="1" applyAlignment="1" applyProtection="1">
      <alignment horizontal="left"/>
      <protection locked="0"/>
    </xf>
    <xf numFmtId="0" fontId="27" fillId="0" borderId="13" xfId="0" applyFont="1" applyBorder="1" applyProtection="1">
      <protection locked="0"/>
    </xf>
    <xf numFmtId="0" fontId="0" fillId="0" borderId="13" xfId="0" applyBorder="1" applyProtection="1">
      <protection locked="0"/>
    </xf>
    <xf numFmtId="0" fontId="29" fillId="0" borderId="0" xfId="0" applyFont="1" applyAlignment="1" applyProtection="1">
      <alignment horizontal="left"/>
      <protection locked="0"/>
    </xf>
    <xf numFmtId="2" fontId="3" fillId="0" borderId="0" xfId="0" applyNumberFormat="1" applyFont="1" applyAlignment="1" applyProtection="1">
      <alignment horizontal="right"/>
      <protection locked="0"/>
    </xf>
    <xf numFmtId="164" fontId="3" fillId="0" borderId="2" xfId="0" applyNumberFormat="1" applyFont="1" applyBorder="1" applyAlignment="1" applyProtection="1">
      <alignment horizontal="right"/>
      <protection locked="0"/>
    </xf>
    <xf numFmtId="164" fontId="3" fillId="0" borderId="5" xfId="0" applyNumberFormat="1" applyFont="1" applyBorder="1" applyAlignment="1" applyProtection="1">
      <alignment horizontal="right"/>
      <protection locked="0"/>
    </xf>
    <xf numFmtId="164" fontId="3" fillId="0" borderId="2" xfId="0" applyNumberFormat="1" applyFont="1" applyBorder="1" applyAlignment="1">
      <alignment horizontal="right"/>
    </xf>
    <xf numFmtId="0" fontId="25" fillId="0" borderId="2" xfId="0" applyFont="1" applyBorder="1" applyAlignment="1" applyProtection="1">
      <alignment horizontal="center" wrapText="1"/>
      <protection locked="0"/>
    </xf>
    <xf numFmtId="0" fontId="3" fillId="0" borderId="0" xfId="0" applyFont="1" applyAlignment="1" applyProtection="1">
      <alignment horizontal="left"/>
      <protection locked="0"/>
    </xf>
    <xf numFmtId="166" fontId="3" fillId="0" borderId="0" xfId="14" applyNumberFormat="1" applyFont="1" applyFill="1" applyProtection="1">
      <protection locked="0"/>
    </xf>
    <xf numFmtId="0" fontId="13" fillId="0" borderId="0" xfId="0" applyFont="1" applyAlignment="1" applyProtection="1">
      <alignment horizontal="left"/>
      <protection locked="0"/>
    </xf>
    <xf numFmtId="164" fontId="13" fillId="0" borderId="2" xfId="0" applyNumberFormat="1" applyFont="1" applyBorder="1" applyAlignment="1" applyProtection="1">
      <alignment horizontal="right"/>
      <protection locked="0"/>
    </xf>
    <xf numFmtId="0" fontId="13" fillId="0" borderId="0" xfId="0" applyFont="1" applyProtection="1">
      <protection locked="0"/>
    </xf>
    <xf numFmtId="0" fontId="0" fillId="0" borderId="0" xfId="0" applyAlignment="1" applyProtection="1">
      <alignment horizontal="left"/>
      <protection locked="0"/>
    </xf>
    <xf numFmtId="0" fontId="14" fillId="0" borderId="0" xfId="0" applyFont="1" applyAlignment="1" applyProtection="1">
      <alignment horizontal="left"/>
      <protection locked="0"/>
    </xf>
    <xf numFmtId="165" fontId="3" fillId="0" borderId="0" xfId="0" applyNumberFormat="1" applyFont="1" applyProtection="1">
      <protection locked="0"/>
    </xf>
    <xf numFmtId="164" fontId="3" fillId="0" borderId="5" xfId="0" applyNumberFormat="1" applyFont="1" applyBorder="1" applyAlignment="1">
      <alignment horizontal="right"/>
    </xf>
    <xf numFmtId="164" fontId="10" fillId="7" borderId="6" xfId="0" applyNumberFormat="1" applyFont="1" applyFill="1" applyBorder="1" applyAlignment="1" applyProtection="1">
      <alignment horizontal="right"/>
      <protection locked="0"/>
    </xf>
    <xf numFmtId="164" fontId="10" fillId="6" borderId="6" xfId="0" applyNumberFormat="1" applyFont="1" applyFill="1" applyBorder="1" applyAlignment="1" applyProtection="1">
      <alignment horizontal="right"/>
      <protection locked="0"/>
    </xf>
    <xf numFmtId="164" fontId="10" fillId="2" borderId="6" xfId="0" applyNumberFormat="1" applyFont="1" applyFill="1" applyBorder="1" applyAlignment="1">
      <alignment horizontal="right"/>
    </xf>
    <xf numFmtId="164" fontId="10" fillId="2" borderId="7" xfId="0" applyNumberFormat="1" applyFont="1" applyFill="1" applyBorder="1" applyAlignment="1">
      <alignment horizontal="right"/>
    </xf>
    <xf numFmtId="2" fontId="3" fillId="6" borderId="0" xfId="0" applyNumberFormat="1" applyFont="1" applyFill="1" applyAlignment="1" applyProtection="1">
      <alignment horizontal="left"/>
      <protection locked="0"/>
    </xf>
    <xf numFmtId="164" fontId="10" fillId="0" borderId="5" xfId="0" applyNumberFormat="1" applyFont="1" applyBorder="1" applyAlignment="1" applyProtection="1">
      <alignment horizontal="right"/>
      <protection locked="0"/>
    </xf>
    <xf numFmtId="164" fontId="10" fillId="0" borderId="2" xfId="0" applyNumberFormat="1" applyFont="1" applyBorder="1" applyAlignment="1" applyProtection="1">
      <alignment horizontal="right"/>
      <protection locked="0"/>
    </xf>
    <xf numFmtId="164" fontId="10" fillId="0" borderId="2" xfId="0" applyNumberFormat="1" applyFont="1" applyBorder="1" applyAlignment="1">
      <alignment horizontal="right"/>
    </xf>
    <xf numFmtId="164" fontId="10" fillId="0" borderId="6" xfId="0" applyNumberFormat="1" applyFont="1" applyBorder="1" applyAlignment="1">
      <alignment horizontal="right"/>
    </xf>
    <xf numFmtId="164" fontId="10" fillId="0" borderId="7" xfId="0" applyNumberFormat="1" applyFont="1" applyBorder="1" applyAlignment="1">
      <alignment horizontal="right"/>
    </xf>
    <xf numFmtId="0" fontId="3" fillId="2" borderId="0" xfId="0" applyFont="1" applyFill="1" applyAlignment="1">
      <alignment horizontal="center"/>
    </xf>
    <xf numFmtId="0" fontId="10" fillId="2" borderId="0" xfId="0" applyFont="1" applyFill="1" applyAlignment="1">
      <alignment horizontal="left"/>
    </xf>
    <xf numFmtId="0" fontId="11" fillId="2" borderId="0" xfId="0" applyFont="1" applyFill="1"/>
    <xf numFmtId="164" fontId="11" fillId="2" borderId="0" xfId="0" applyNumberFormat="1" applyFont="1" applyFill="1"/>
    <xf numFmtId="0" fontId="3" fillId="2" borderId="0" xfId="0" applyFont="1" applyFill="1" applyAlignment="1">
      <alignment horizontal="left"/>
    </xf>
    <xf numFmtId="0" fontId="3" fillId="2" borderId="0" xfId="0" applyFont="1" applyFill="1" applyAlignment="1">
      <alignment horizontal="right"/>
    </xf>
    <xf numFmtId="0" fontId="49" fillId="6" borderId="0" xfId="0" applyFont="1" applyFill="1" applyProtection="1">
      <protection locked="0"/>
    </xf>
    <xf numFmtId="0" fontId="22" fillId="6" borderId="0" xfId="0" applyFont="1" applyFill="1" applyAlignment="1" applyProtection="1">
      <alignment horizontal="left"/>
      <protection locked="0"/>
    </xf>
    <xf numFmtId="0" fontId="3" fillId="0" borderId="0" xfId="13" applyFont="1" applyProtection="1">
      <protection locked="0"/>
    </xf>
    <xf numFmtId="0" fontId="3" fillId="0" borderId="0" xfId="59"/>
    <xf numFmtId="43" fontId="13" fillId="40" borderId="0" xfId="61" applyFont="1" applyFill="1" applyProtection="1">
      <protection hidden="1"/>
    </xf>
    <xf numFmtId="43" fontId="13" fillId="40" borderId="0" xfId="59" applyNumberFormat="1" applyFont="1" applyFill="1" applyProtection="1">
      <protection hidden="1"/>
    </xf>
    <xf numFmtId="166" fontId="50" fillId="40" borderId="0" xfId="14" applyNumberFormat="1" applyFont="1" applyFill="1" applyBorder="1" applyProtection="1">
      <protection hidden="1"/>
    </xf>
    <xf numFmtId="0" fontId="3" fillId="40" borderId="0" xfId="59" applyFill="1" applyAlignment="1" applyProtection="1">
      <alignment horizontal="center"/>
      <protection hidden="1"/>
    </xf>
    <xf numFmtId="0" fontId="3" fillId="40" borderId="0" xfId="59" applyFill="1" applyProtection="1">
      <protection hidden="1"/>
    </xf>
    <xf numFmtId="43" fontId="13" fillId="40" borderId="0" xfId="59" applyNumberFormat="1" applyFont="1" applyFill="1" applyAlignment="1">
      <alignment horizontal="center"/>
    </xf>
    <xf numFmtId="0" fontId="3" fillId="40" borderId="0" xfId="59" applyFill="1"/>
    <xf numFmtId="0" fontId="13" fillId="40" borderId="0" xfId="59" applyFont="1" applyFill="1" applyAlignment="1">
      <alignment horizontal="right"/>
    </xf>
    <xf numFmtId="43" fontId="0" fillId="42" borderId="13" xfId="61" applyFont="1" applyFill="1" applyBorder="1" applyProtection="1">
      <protection hidden="1"/>
    </xf>
    <xf numFmtId="43" fontId="3" fillId="42" borderId="13" xfId="59" applyNumberFormat="1" applyFill="1" applyBorder="1" applyProtection="1">
      <protection hidden="1"/>
    </xf>
    <xf numFmtId="9" fontId="3" fillId="42" borderId="13" xfId="14" quotePrefix="1" applyFont="1" applyFill="1" applyBorder="1" applyProtection="1">
      <protection hidden="1"/>
    </xf>
    <xf numFmtId="0" fontId="3" fillId="42" borderId="13" xfId="59" applyFill="1" applyBorder="1" applyAlignment="1" applyProtection="1">
      <alignment horizontal="center"/>
      <protection hidden="1"/>
    </xf>
    <xf numFmtId="0" fontId="3" fillId="42" borderId="13" xfId="59" applyFill="1" applyBorder="1" applyProtection="1">
      <protection hidden="1"/>
    </xf>
    <xf numFmtId="0" fontId="3" fillId="42" borderId="13" xfId="59" applyFill="1" applyBorder="1" applyAlignment="1">
      <alignment horizontal="center"/>
    </xf>
    <xf numFmtId="0" fontId="3" fillId="0" borderId="13" xfId="59" applyBorder="1" applyAlignment="1" applyProtection="1">
      <alignment horizontal="center"/>
      <protection hidden="1"/>
    </xf>
    <xf numFmtId="0" fontId="3" fillId="0" borderId="13" xfId="59" applyBorder="1"/>
    <xf numFmtId="43" fontId="0" fillId="42" borderId="0" xfId="61" applyFont="1" applyFill="1" applyBorder="1" applyProtection="1">
      <protection hidden="1"/>
    </xf>
    <xf numFmtId="43" fontId="3" fillId="42" borderId="0" xfId="59" applyNumberFormat="1" applyFill="1" applyProtection="1">
      <protection hidden="1"/>
    </xf>
    <xf numFmtId="9" fontId="3" fillId="42" borderId="0" xfId="14" quotePrefix="1" applyFont="1" applyFill="1" applyBorder="1" applyProtection="1">
      <protection hidden="1"/>
    </xf>
    <xf numFmtId="0" fontId="3" fillId="42" borderId="0" xfId="59" applyFill="1" applyAlignment="1" applyProtection="1">
      <alignment horizontal="center"/>
      <protection hidden="1"/>
    </xf>
    <xf numFmtId="0" fontId="3" fillId="42" borderId="0" xfId="59" applyFill="1" applyProtection="1">
      <protection hidden="1"/>
    </xf>
    <xf numFmtId="0" fontId="3" fillId="42" borderId="0" xfId="59" applyFill="1" applyAlignment="1">
      <alignment horizontal="center"/>
    </xf>
    <xf numFmtId="0" fontId="3" fillId="0" borderId="0" xfId="59" applyAlignment="1" applyProtection="1">
      <alignment horizontal="center"/>
      <protection hidden="1"/>
    </xf>
    <xf numFmtId="14" fontId="3" fillId="0" borderId="25" xfId="59" applyNumberFormat="1" applyBorder="1" applyProtection="1">
      <protection locked="0"/>
    </xf>
    <xf numFmtId="0" fontId="13" fillId="8" borderId="26" xfId="59" applyFont="1" applyFill="1" applyBorder="1"/>
    <xf numFmtId="0" fontId="3" fillId="42" borderId="24" xfId="59" applyFill="1" applyBorder="1" applyAlignment="1" applyProtection="1">
      <alignment horizontal="center"/>
      <protection hidden="1"/>
    </xf>
    <xf numFmtId="43" fontId="0" fillId="42" borderId="0" xfId="61" applyFont="1" applyFill="1" applyBorder="1" applyAlignment="1" applyProtection="1">
      <alignment horizontal="center"/>
      <protection hidden="1"/>
    </xf>
    <xf numFmtId="43" fontId="0" fillId="0" borderId="2" xfId="61" applyFont="1" applyBorder="1" applyAlignment="1" applyProtection="1">
      <alignment horizontal="center"/>
      <protection locked="0"/>
    </xf>
    <xf numFmtId="0" fontId="3" fillId="40" borderId="0" xfId="59" quotePrefix="1" applyFill="1" applyAlignment="1">
      <alignment horizontal="center"/>
    </xf>
    <xf numFmtId="0" fontId="13" fillId="8" borderId="25" xfId="59" applyFont="1" applyFill="1" applyBorder="1"/>
    <xf numFmtId="0" fontId="13" fillId="42" borderId="13" xfId="59" applyFont="1" applyFill="1" applyBorder="1" applyAlignment="1" applyProtection="1">
      <alignment horizontal="center"/>
      <protection hidden="1"/>
    </xf>
    <xf numFmtId="0" fontId="13" fillId="42" borderId="13" xfId="59" applyFont="1" applyFill="1" applyBorder="1" applyProtection="1">
      <protection hidden="1"/>
    </xf>
    <xf numFmtId="0" fontId="13" fillId="42" borderId="27" xfId="59" applyFont="1" applyFill="1" applyBorder="1" applyProtection="1">
      <protection hidden="1"/>
    </xf>
    <xf numFmtId="0" fontId="13" fillId="8" borderId="28" xfId="59" applyFont="1" applyFill="1" applyBorder="1" applyAlignment="1">
      <alignment horizontal="center"/>
    </xf>
    <xf numFmtId="0" fontId="13" fillId="8" borderId="0" xfId="59" applyFont="1" applyFill="1" applyAlignment="1">
      <alignment horizontal="center"/>
    </xf>
    <xf numFmtId="0" fontId="3" fillId="0" borderId="0" xfId="59" applyAlignment="1">
      <alignment horizontal="center"/>
    </xf>
    <xf numFmtId="0" fontId="13" fillId="8" borderId="0" xfId="59" applyFont="1" applyFill="1" applyAlignment="1">
      <alignment horizontal="left"/>
    </xf>
    <xf numFmtId="0" fontId="13" fillId="0" borderId="0" xfId="59" applyFont="1" applyAlignment="1">
      <alignment vertical="center"/>
    </xf>
    <xf numFmtId="43" fontId="3" fillId="0" borderId="0" xfId="59" applyNumberFormat="1"/>
    <xf numFmtId="169" fontId="3" fillId="0" borderId="0" xfId="59" applyNumberFormat="1"/>
    <xf numFmtId="0" fontId="3" fillId="0" borderId="0" xfId="59" quotePrefix="1"/>
    <xf numFmtId="0" fontId="3" fillId="42" borderId="29" xfId="59" applyFill="1" applyBorder="1" applyAlignment="1" applyProtection="1">
      <alignment horizontal="center"/>
      <protection hidden="1"/>
    </xf>
    <xf numFmtId="0" fontId="3" fillId="0" borderId="0" xfId="59" applyProtection="1">
      <protection hidden="1"/>
    </xf>
    <xf numFmtId="9" fontId="0" fillId="40" borderId="0" xfId="14" applyFont="1" applyFill="1" applyAlignment="1" applyProtection="1">
      <alignment horizontal="center"/>
      <protection hidden="1"/>
    </xf>
    <xf numFmtId="14" fontId="3" fillId="40" borderId="0" xfId="59" applyNumberFormat="1" applyFill="1" applyAlignment="1" applyProtection="1">
      <alignment horizontal="center"/>
      <protection hidden="1"/>
    </xf>
    <xf numFmtId="0" fontId="13" fillId="40" borderId="13" xfId="59" applyFont="1" applyFill="1" applyBorder="1" applyAlignment="1" applyProtection="1">
      <alignment horizontal="center"/>
      <protection hidden="1"/>
    </xf>
    <xf numFmtId="0" fontId="3" fillId="40" borderId="13" xfId="59" applyFill="1" applyBorder="1" applyAlignment="1" applyProtection="1">
      <alignment horizontal="center"/>
      <protection hidden="1"/>
    </xf>
    <xf numFmtId="0" fontId="13" fillId="40" borderId="0" xfId="59" applyFont="1" applyFill="1" applyAlignment="1" applyProtection="1">
      <alignment horizontal="left" wrapText="1"/>
      <protection hidden="1"/>
    </xf>
    <xf numFmtId="43" fontId="13" fillId="41" borderId="26" xfId="59" applyNumberFormat="1" applyFont="1" applyFill="1" applyBorder="1" applyAlignment="1">
      <alignment horizontal="center"/>
    </xf>
    <xf numFmtId="0" fontId="3" fillId="0" borderId="30" xfId="59" applyBorder="1"/>
    <xf numFmtId="0" fontId="3" fillId="0" borderId="31" xfId="59" applyBorder="1"/>
    <xf numFmtId="0" fontId="13" fillId="0" borderId="0" xfId="59" applyFont="1" applyAlignment="1">
      <alignment horizontal="left"/>
    </xf>
    <xf numFmtId="0" fontId="13" fillId="0" borderId="28" xfId="59" applyFont="1" applyBorder="1" applyAlignment="1">
      <alignment horizontal="center"/>
    </xf>
    <xf numFmtId="0" fontId="3" fillId="0" borderId="32" xfId="59" applyBorder="1"/>
    <xf numFmtId="0" fontId="3" fillId="0" borderId="33" xfId="59" applyBorder="1"/>
    <xf numFmtId="0" fontId="13" fillId="0" borderId="0" xfId="59" applyFont="1"/>
    <xf numFmtId="165" fontId="0" fillId="0" borderId="0" xfId="0" applyNumberFormat="1" applyProtection="1">
      <protection locked="0"/>
    </xf>
    <xf numFmtId="0" fontId="11" fillId="6" borderId="2" xfId="0" applyFont="1" applyFill="1" applyBorder="1" applyAlignment="1" applyProtection="1">
      <alignment horizontal="center"/>
      <protection locked="0"/>
    </xf>
    <xf numFmtId="14" fontId="49" fillId="0" borderId="2" xfId="0" applyNumberFormat="1" applyFont="1" applyBorder="1" applyAlignment="1" applyProtection="1">
      <alignment horizontal="center"/>
      <protection locked="0"/>
    </xf>
    <xf numFmtId="2" fontId="0" fillId="6" borderId="0" xfId="0" applyNumberFormat="1" applyFill="1" applyAlignment="1" applyProtection="1">
      <alignment horizontal="right"/>
      <protection locked="0"/>
    </xf>
    <xf numFmtId="0" fontId="0" fillId="6" borderId="0" xfId="0" applyFill="1" applyAlignment="1" applyProtection="1">
      <alignment horizontal="right"/>
      <protection locked="0"/>
    </xf>
    <xf numFmtId="9" fontId="0" fillId="6" borderId="0" xfId="0" applyNumberFormat="1" applyFill="1" applyAlignment="1" applyProtection="1">
      <alignment horizontal="right"/>
      <protection locked="0"/>
    </xf>
    <xf numFmtId="0" fontId="6" fillId="43" borderId="0" xfId="0" applyFont="1" applyFill="1" applyAlignment="1" applyProtection="1">
      <alignment horizontal="left"/>
      <protection locked="0"/>
    </xf>
    <xf numFmtId="0" fontId="6" fillId="43" borderId="0" xfId="0" applyFont="1" applyFill="1" applyAlignment="1" applyProtection="1">
      <alignment horizontal="center"/>
      <protection locked="0"/>
    </xf>
    <xf numFmtId="167" fontId="6" fillId="43" borderId="0" xfId="0" applyNumberFormat="1" applyFont="1" applyFill="1" applyAlignment="1" applyProtection="1">
      <alignment horizontal="center"/>
      <protection locked="0"/>
    </xf>
    <xf numFmtId="0" fontId="9" fillId="43" borderId="0" xfId="0" applyFont="1" applyFill="1" applyProtection="1">
      <protection locked="0"/>
    </xf>
    <xf numFmtId="0" fontId="8" fillId="43" borderId="0" xfId="0" applyFont="1" applyFill="1" applyProtection="1">
      <protection locked="0"/>
    </xf>
    <xf numFmtId="14" fontId="8" fillId="43" borderId="0" xfId="0" applyNumberFormat="1" applyFont="1" applyFill="1" applyProtection="1">
      <protection locked="0"/>
    </xf>
    <xf numFmtId="14" fontId="9" fillId="43" borderId="0" xfId="0" applyNumberFormat="1" applyFont="1" applyFill="1" applyProtection="1">
      <protection locked="0"/>
    </xf>
    <xf numFmtId="0" fontId="9" fillId="44" borderId="2" xfId="0" applyFont="1" applyFill="1" applyBorder="1" applyAlignment="1" applyProtection="1">
      <alignment horizontal="center"/>
      <protection locked="0"/>
    </xf>
    <xf numFmtId="0" fontId="9" fillId="44" borderId="5" xfId="0" applyFont="1" applyFill="1" applyBorder="1" applyAlignment="1" applyProtection="1">
      <alignment horizontal="center"/>
      <protection locked="0"/>
    </xf>
    <xf numFmtId="14" fontId="51" fillId="42" borderId="2" xfId="0" applyNumberFormat="1" applyFont="1" applyFill="1" applyBorder="1" applyProtection="1">
      <protection locked="0"/>
    </xf>
    <xf numFmtId="0" fontId="0" fillId="43" borderId="0" xfId="0" applyFill="1" applyProtection="1">
      <protection locked="0"/>
    </xf>
    <xf numFmtId="0" fontId="3" fillId="0" borderId="2" xfId="0" applyFont="1" applyBorder="1" applyProtection="1">
      <protection locked="0"/>
    </xf>
    <xf numFmtId="0" fontId="52" fillId="43" borderId="0" xfId="0" applyFont="1" applyFill="1" applyProtection="1">
      <protection locked="0"/>
    </xf>
    <xf numFmtId="0" fontId="14" fillId="43" borderId="0" xfId="0" applyFont="1" applyFill="1" applyProtection="1">
      <protection locked="0"/>
    </xf>
    <xf numFmtId="0" fontId="51" fillId="43" borderId="0" xfId="0" applyFont="1" applyFill="1" applyProtection="1">
      <protection locked="0"/>
    </xf>
    <xf numFmtId="0" fontId="53" fillId="43" borderId="0" xfId="0" applyFont="1" applyFill="1" applyProtection="1">
      <protection locked="0"/>
    </xf>
    <xf numFmtId="14" fontId="51" fillId="43" borderId="0" xfId="0" applyNumberFormat="1" applyFont="1" applyFill="1" applyProtection="1">
      <protection locked="0"/>
    </xf>
    <xf numFmtId="14" fontId="49" fillId="0" borderId="0" xfId="0" applyNumberFormat="1" applyFont="1"/>
    <xf numFmtId="0" fontId="3" fillId="2" borderId="0" xfId="0" applyFont="1" applyFill="1"/>
    <xf numFmtId="0" fontId="3" fillId="2" borderId="0" xfId="0" applyFont="1" applyFill="1" applyAlignment="1">
      <alignment wrapText="1"/>
    </xf>
    <xf numFmtId="0" fontId="11" fillId="2" borderId="0" xfId="0" applyFont="1" applyFill="1" applyAlignment="1">
      <alignment vertical="top"/>
    </xf>
    <xf numFmtId="0" fontId="11" fillId="4" borderId="0" xfId="0" applyFont="1" applyFill="1" applyAlignment="1" applyProtection="1">
      <alignment horizontal="left"/>
      <protection locked="0"/>
    </xf>
    <xf numFmtId="0" fontId="11" fillId="3" borderId="0" xfId="0" applyFont="1" applyFill="1" applyAlignment="1">
      <alignment horizontal="left"/>
    </xf>
    <xf numFmtId="0" fontId="11" fillId="3" borderId="0" xfId="0" applyFont="1" applyFill="1"/>
    <xf numFmtId="0" fontId="3" fillId="2" borderId="0" xfId="0" applyFont="1" applyFill="1" applyAlignment="1">
      <alignment textRotation="90" wrapText="1"/>
    </xf>
    <xf numFmtId="0" fontId="3" fillId="2" borderId="0" xfId="0" applyFont="1" applyFill="1" applyAlignment="1">
      <alignment horizontal="center" vertical="center"/>
    </xf>
    <xf numFmtId="0" fontId="3" fillId="2" borderId="0" xfId="0" applyFont="1" applyFill="1" applyAlignment="1">
      <alignment horizontal="center" vertical="center" wrapText="1"/>
    </xf>
    <xf numFmtId="0" fontId="3" fillId="3" borderId="0" xfId="0" applyFont="1" applyFill="1" applyAlignment="1">
      <alignment horizontal="left"/>
    </xf>
    <xf numFmtId="0" fontId="3" fillId="3" borderId="0" xfId="0" applyFont="1" applyFill="1"/>
    <xf numFmtId="0" fontId="3" fillId="0" borderId="2" xfId="0" applyFont="1" applyBorder="1" applyAlignment="1" applyProtection="1">
      <alignment horizontal="center" vertical="center" wrapText="1"/>
      <protection locked="0"/>
    </xf>
    <xf numFmtId="0" fontId="3" fillId="4" borderId="0" xfId="0" applyFont="1" applyFill="1" applyAlignment="1" applyProtection="1">
      <alignment horizontal="right"/>
      <protection locked="0"/>
    </xf>
    <xf numFmtId="0" fontId="3" fillId="2" borderId="0" xfId="0" applyFont="1" applyFill="1" applyAlignment="1">
      <alignment horizontal="center" vertical="center" textRotation="15"/>
    </xf>
    <xf numFmtId="0" fontId="3" fillId="4" borderId="2" xfId="0" applyFont="1" applyFill="1" applyBorder="1" applyAlignment="1" applyProtection="1">
      <alignment horizontal="center" vertical="center" wrapText="1"/>
      <protection locked="0"/>
    </xf>
    <xf numFmtId="0" fontId="3" fillId="3" borderId="0" xfId="0" applyFont="1" applyFill="1" applyAlignment="1">
      <alignment horizontal="right"/>
    </xf>
    <xf numFmtId="0" fontId="3" fillId="4" borderId="3" xfId="0" applyFont="1" applyFill="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3" fillId="3" borderId="0" xfId="0" applyFont="1" applyFill="1" applyAlignment="1">
      <alignment horizontal="center" vertical="center"/>
    </xf>
    <xf numFmtId="0" fontId="54" fillId="0" borderId="0" xfId="0" applyFont="1"/>
    <xf numFmtId="0" fontId="11" fillId="41" borderId="2" xfId="0" applyFont="1" applyFill="1" applyBorder="1" applyAlignment="1" applyProtection="1">
      <alignment horizontal="center"/>
      <protection locked="0"/>
    </xf>
    <xf numFmtId="0" fontId="11" fillId="41" borderId="0" xfId="0" applyFont="1" applyFill="1" applyAlignment="1" applyProtection="1">
      <alignment horizontal="center"/>
      <protection locked="0"/>
    </xf>
    <xf numFmtId="164" fontId="3" fillId="41" borderId="0" xfId="0" applyNumberFormat="1" applyFont="1" applyFill="1" applyAlignment="1" applyProtection="1">
      <alignment horizontal="right"/>
      <protection locked="0"/>
    </xf>
    <xf numFmtId="164" fontId="3" fillId="41" borderId="2" xfId="0" applyNumberFormat="1" applyFont="1" applyFill="1" applyBorder="1" applyAlignment="1">
      <alignment horizontal="right"/>
    </xf>
    <xf numFmtId="0" fontId="11" fillId="41" borderId="0" xfId="0" applyFont="1" applyFill="1" applyAlignment="1">
      <alignment horizontal="center"/>
    </xf>
    <xf numFmtId="170" fontId="51" fillId="42" borderId="2" xfId="0" applyNumberFormat="1" applyFont="1" applyFill="1" applyBorder="1" applyProtection="1">
      <protection locked="0"/>
    </xf>
    <xf numFmtId="0" fontId="0" fillId="41" borderId="0" xfId="0" applyFill="1"/>
    <xf numFmtId="0" fontId="11" fillId="2" borderId="0" xfId="0" applyFont="1" applyFill="1" applyAlignment="1">
      <alignment horizontal="right"/>
    </xf>
    <xf numFmtId="0" fontId="3" fillId="2" borderId="0" xfId="59" applyFill="1" applyAlignment="1">
      <alignment horizontal="right"/>
    </xf>
    <xf numFmtId="0" fontId="11" fillId="2" borderId="0" xfId="59" applyFont="1" applyFill="1"/>
    <xf numFmtId="3" fontId="48" fillId="45" borderId="0" xfId="85" applyNumberFormat="1" applyFill="1"/>
    <xf numFmtId="3" fontId="3" fillId="2" borderId="0" xfId="59" applyNumberFormat="1" applyFill="1"/>
    <xf numFmtId="0" fontId="3" fillId="2" borderId="0" xfId="59" applyFill="1"/>
    <xf numFmtId="164" fontId="11" fillId="2" borderId="0" xfId="59" applyNumberFormat="1" applyFont="1" applyFill="1"/>
    <xf numFmtId="3" fontId="48" fillId="46" borderId="0" xfId="85" applyNumberFormat="1" applyFill="1"/>
    <xf numFmtId="3" fontId="48" fillId="8" borderId="0" xfId="85" applyNumberFormat="1" applyFill="1"/>
    <xf numFmtId="3" fontId="3" fillId="2" borderId="0" xfId="60" applyNumberFormat="1" applyFont="1" applyFill="1"/>
    <xf numFmtId="0" fontId="11" fillId="2" borderId="0" xfId="59" applyFont="1" applyFill="1" applyAlignment="1">
      <alignment horizontal="center"/>
    </xf>
    <xf numFmtId="0" fontId="3" fillId="41" borderId="0" xfId="59" applyFill="1"/>
    <xf numFmtId="0" fontId="11" fillId="41" borderId="0" xfId="59" applyFont="1" applyFill="1"/>
    <xf numFmtId="3" fontId="3" fillId="41" borderId="0" xfId="60" applyNumberFormat="1" applyFont="1" applyFill="1"/>
    <xf numFmtId="0" fontId="0" fillId="6" borderId="0" xfId="0" applyFill="1" applyAlignment="1">
      <alignment wrapText="1"/>
    </xf>
    <xf numFmtId="0" fontId="11" fillId="6" borderId="0" xfId="0" applyFont="1" applyFill="1"/>
    <xf numFmtId="164" fontId="11" fillId="6" borderId="0" xfId="0" applyNumberFormat="1" applyFont="1" applyFill="1"/>
    <xf numFmtId="0" fontId="55" fillId="0" borderId="0" xfId="0" applyFont="1"/>
    <xf numFmtId="170" fontId="3" fillId="0" borderId="0" xfId="0" applyNumberFormat="1" applyFont="1" applyAlignment="1" applyProtection="1">
      <alignment horizontal="right"/>
      <protection locked="0"/>
    </xf>
    <xf numFmtId="10" fontId="56" fillId="43" borderId="0" xfId="0" applyNumberFormat="1" applyFont="1" applyFill="1" applyProtection="1">
      <protection locked="0"/>
    </xf>
    <xf numFmtId="0" fontId="0" fillId="0" borderId="2" xfId="0" applyBorder="1" applyProtection="1">
      <protection locked="0"/>
    </xf>
    <xf numFmtId="0" fontId="27" fillId="0" borderId="24" xfId="0" applyFont="1" applyBorder="1" applyProtection="1">
      <protection locked="0"/>
    </xf>
    <xf numFmtId="0" fontId="0" fillId="0" borderId="24" xfId="0" applyBorder="1" applyProtection="1">
      <protection locked="0"/>
    </xf>
    <xf numFmtId="0" fontId="0" fillId="0" borderId="10" xfId="0" applyBorder="1" applyProtection="1">
      <protection locked="0"/>
    </xf>
    <xf numFmtId="0" fontId="0" fillId="0" borderId="4" xfId="0" applyBorder="1" applyProtection="1">
      <protection locked="0"/>
    </xf>
    <xf numFmtId="0" fontId="0" fillId="0" borderId="14" xfId="0" applyBorder="1" applyProtection="1">
      <protection locked="0"/>
    </xf>
    <xf numFmtId="0" fontId="0" fillId="0" borderId="9" xfId="0" applyBorder="1" applyProtection="1">
      <protection locked="0"/>
    </xf>
    <xf numFmtId="0" fontId="7" fillId="0" borderId="24" xfId="0" applyFont="1" applyBorder="1" applyProtection="1">
      <protection locked="0"/>
    </xf>
    <xf numFmtId="0" fontId="7" fillId="0" borderId="10" xfId="0" applyFont="1" applyBorder="1" applyProtection="1">
      <protection locked="0"/>
    </xf>
    <xf numFmtId="0" fontId="7" fillId="0" borderId="4" xfId="0" applyFont="1" applyBorder="1" applyProtection="1">
      <protection locked="0"/>
    </xf>
    <xf numFmtId="0" fontId="0" fillId="0" borderId="11" xfId="0" applyBorder="1" applyProtection="1">
      <protection locked="0"/>
    </xf>
    <xf numFmtId="0" fontId="0" fillId="0" borderId="12" xfId="0" applyBorder="1" applyProtection="1">
      <protection locked="0"/>
    </xf>
    <xf numFmtId="0" fontId="7" fillId="0" borderId="13" xfId="0" applyFont="1" applyBorder="1" applyProtection="1">
      <protection locked="0"/>
    </xf>
    <xf numFmtId="0" fontId="7" fillId="0" borderId="14" xfId="0" applyFont="1" applyBorder="1" applyProtection="1">
      <protection locked="0"/>
    </xf>
    <xf numFmtId="9" fontId="27" fillId="0" borderId="0" xfId="14" applyFont="1" applyBorder="1" applyAlignment="1" applyProtection="1">
      <alignment horizontal="left"/>
      <protection locked="0"/>
    </xf>
    <xf numFmtId="10" fontId="0" fillId="47" borderId="2" xfId="14" applyNumberFormat="1" applyFont="1" applyFill="1" applyBorder="1" applyProtection="1"/>
    <xf numFmtId="0" fontId="54" fillId="0" borderId="4" xfId="0" applyFont="1" applyBorder="1"/>
    <xf numFmtId="0" fontId="3" fillId="0" borderId="13" xfId="0" applyFont="1" applyBorder="1" applyProtection="1">
      <protection locked="0"/>
    </xf>
    <xf numFmtId="164" fontId="10" fillId="7" borderId="3" xfId="0" applyNumberFormat="1" applyFont="1" applyFill="1" applyBorder="1" applyAlignment="1" applyProtection="1">
      <alignment horizontal="right"/>
      <protection locked="0"/>
    </xf>
    <xf numFmtId="164" fontId="10" fillId="7" borderId="3" xfId="0" applyNumberFormat="1" applyFont="1" applyFill="1" applyBorder="1" applyAlignment="1">
      <alignment horizontal="right"/>
    </xf>
    <xf numFmtId="164" fontId="10" fillId="0" borderId="3" xfId="0" applyNumberFormat="1" applyFont="1" applyBorder="1" applyAlignment="1">
      <alignment horizontal="right"/>
    </xf>
    <xf numFmtId="0" fontId="10" fillId="41" borderId="0" xfId="0" applyFont="1" applyFill="1" applyAlignment="1" applyProtection="1">
      <alignment horizontal="left"/>
      <protection locked="0"/>
    </xf>
    <xf numFmtId="0" fontId="3" fillId="41" borderId="0" xfId="0" applyFont="1" applyFill="1" applyAlignment="1" applyProtection="1">
      <alignment horizontal="right"/>
      <protection locked="0"/>
    </xf>
    <xf numFmtId="0" fontId="57" fillId="0" borderId="0" xfId="0" applyFont="1"/>
    <xf numFmtId="0" fontId="3" fillId="0" borderId="0" xfId="0" applyFont="1"/>
    <xf numFmtId="0" fontId="3" fillId="0" borderId="2" xfId="0" applyFont="1" applyBorder="1" applyAlignment="1" applyProtection="1">
      <alignment horizontal="center"/>
      <protection locked="0"/>
    </xf>
    <xf numFmtId="0" fontId="58" fillId="49" borderId="37" xfId="86" applyFont="1" applyFill="1" applyBorder="1" applyAlignment="1">
      <alignment horizontal="center" vertical="top" wrapText="1"/>
    </xf>
    <xf numFmtId="0" fontId="58" fillId="49" borderId="38" xfId="86" applyFont="1" applyFill="1" applyBorder="1" applyAlignment="1">
      <alignment horizontal="center" vertical="top" wrapText="1"/>
    </xf>
    <xf numFmtId="0" fontId="60" fillId="48" borderId="40" xfId="59" applyFont="1" applyFill="1" applyBorder="1" applyAlignment="1">
      <alignment horizontal="center" vertical="top"/>
    </xf>
    <xf numFmtId="164" fontId="60" fillId="48" borderId="40" xfId="59" applyNumberFormat="1" applyFont="1" applyFill="1" applyBorder="1" applyAlignment="1">
      <alignment horizontal="center" vertical="top"/>
    </xf>
    <xf numFmtId="164" fontId="61" fillId="48" borderId="40" xfId="59" applyNumberFormat="1" applyFont="1" applyFill="1" applyBorder="1" applyAlignment="1">
      <alignment horizontal="center" vertical="top"/>
    </xf>
    <xf numFmtId="0" fontId="60" fillId="48" borderId="43" xfId="59" applyFont="1" applyFill="1" applyBorder="1" applyAlignment="1">
      <alignment horizontal="center" vertical="top"/>
    </xf>
    <xf numFmtId="0" fontId="60" fillId="48" borderId="40" xfId="59" applyFont="1" applyFill="1" applyBorder="1" applyAlignment="1">
      <alignment horizontal="center" vertical="top" wrapText="1"/>
    </xf>
    <xf numFmtId="164" fontId="60" fillId="48" borderId="44" xfId="59" applyNumberFormat="1" applyFont="1" applyFill="1" applyBorder="1" applyAlignment="1">
      <alignment horizontal="center" vertical="top"/>
    </xf>
    <xf numFmtId="164" fontId="60" fillId="48" borderId="45" xfId="59" applyNumberFormat="1" applyFont="1" applyFill="1" applyBorder="1" applyAlignment="1">
      <alignment horizontal="center" vertical="top"/>
    </xf>
    <xf numFmtId="0" fontId="60" fillId="48" borderId="46" xfId="59" applyFont="1" applyFill="1" applyBorder="1" applyAlignment="1">
      <alignment horizontal="center" vertical="top"/>
    </xf>
    <xf numFmtId="0" fontId="60" fillId="48" borderId="47" xfId="59" applyFont="1" applyFill="1" applyBorder="1" applyAlignment="1">
      <alignment horizontal="center" vertical="top" wrapText="1"/>
    </xf>
    <xf numFmtId="0" fontId="60" fillId="48" borderId="47" xfId="59" applyFont="1" applyFill="1" applyBorder="1" applyAlignment="1">
      <alignment horizontal="center" vertical="top"/>
    </xf>
    <xf numFmtId="164" fontId="60" fillId="48" borderId="47" xfId="59" applyNumberFormat="1" applyFont="1" applyFill="1" applyBorder="1" applyAlignment="1">
      <alignment horizontal="center" vertical="top"/>
    </xf>
    <xf numFmtId="164" fontId="61" fillId="48" borderId="47" xfId="59" applyNumberFormat="1" applyFont="1" applyFill="1" applyBorder="1" applyAlignment="1">
      <alignment horizontal="center" vertical="top"/>
    </xf>
    <xf numFmtId="164" fontId="60" fillId="48" borderId="48" xfId="59" applyNumberFormat="1" applyFont="1" applyFill="1" applyBorder="1" applyAlignment="1">
      <alignment horizontal="center" vertical="top"/>
    </xf>
    <xf numFmtId="0" fontId="60" fillId="48" borderId="49" xfId="59" applyFont="1" applyFill="1" applyBorder="1" applyAlignment="1">
      <alignment horizontal="center" vertical="top"/>
    </xf>
    <xf numFmtId="0" fontId="60" fillId="48" borderId="50" xfId="59" applyFont="1" applyFill="1" applyBorder="1" applyAlignment="1">
      <alignment horizontal="center" vertical="top" wrapText="1"/>
    </xf>
    <xf numFmtId="0" fontId="60" fillId="48" borderId="50" xfId="59" applyFont="1" applyFill="1" applyBorder="1" applyAlignment="1">
      <alignment horizontal="center" vertical="top"/>
    </xf>
    <xf numFmtId="164" fontId="60" fillId="48" borderId="50" xfId="59" applyNumberFormat="1" applyFont="1" applyFill="1" applyBorder="1" applyAlignment="1">
      <alignment horizontal="center" vertical="top"/>
    </xf>
    <xf numFmtId="164" fontId="61" fillId="48" borderId="50" xfId="59" applyNumberFormat="1" applyFont="1" applyFill="1" applyBorder="1" applyAlignment="1">
      <alignment horizontal="center" vertical="top"/>
    </xf>
    <xf numFmtId="164" fontId="60" fillId="48" borderId="51" xfId="59" applyNumberFormat="1" applyFont="1" applyFill="1" applyBorder="1" applyAlignment="1">
      <alignment horizontal="center" vertical="top"/>
    </xf>
    <xf numFmtId="0" fontId="62" fillId="51" borderId="41" xfId="87" applyFont="1" applyFill="1" applyBorder="1" applyAlignment="1">
      <alignment horizontal="center" vertical="top"/>
    </xf>
    <xf numFmtId="0" fontId="62" fillId="51" borderId="23" xfId="87" applyFont="1" applyFill="1" applyAlignment="1">
      <alignment horizontal="center" vertical="top" wrapText="1"/>
    </xf>
    <xf numFmtId="0" fontId="62" fillId="51" borderId="23" xfId="87" applyFont="1" applyFill="1" applyAlignment="1">
      <alignment horizontal="center" vertical="top"/>
    </xf>
    <xf numFmtId="164" fontId="62" fillId="51" borderId="23" xfId="87" applyNumberFormat="1" applyFont="1" applyFill="1" applyAlignment="1">
      <alignment horizontal="center" vertical="top"/>
    </xf>
    <xf numFmtId="164" fontId="63" fillId="51" borderId="23" xfId="87" applyNumberFormat="1" applyFont="1" applyFill="1" applyAlignment="1">
      <alignment horizontal="center" vertical="top"/>
    </xf>
    <xf numFmtId="164" fontId="62" fillId="51" borderId="23" xfId="87" applyNumberFormat="1" applyFont="1" applyFill="1" applyAlignment="1">
      <alignment horizontal="right" vertical="top"/>
    </xf>
    <xf numFmtId="164" fontId="62" fillId="51" borderId="42" xfId="87" applyNumberFormat="1" applyFont="1" applyFill="1" applyBorder="1" applyAlignment="1">
      <alignment horizontal="center" vertical="top"/>
    </xf>
    <xf numFmtId="0" fontId="58" fillId="52" borderId="41" xfId="87" applyFont="1" applyFill="1" applyBorder="1" applyAlignment="1">
      <alignment horizontal="center" vertical="top"/>
    </xf>
    <xf numFmtId="0" fontId="58" fillId="52" borderId="23" xfId="87" applyFont="1" applyFill="1" applyAlignment="1">
      <alignment horizontal="center" vertical="top" wrapText="1"/>
    </xf>
    <xf numFmtId="0" fontId="58" fillId="52" borderId="23" xfId="87" applyFont="1" applyFill="1" applyAlignment="1">
      <alignment horizontal="center" vertical="top"/>
    </xf>
    <xf numFmtId="164" fontId="58" fillId="52" borderId="23" xfId="87" applyNumberFormat="1" applyFont="1" applyFill="1" applyAlignment="1">
      <alignment horizontal="center" vertical="top"/>
    </xf>
    <xf numFmtId="164" fontId="59" fillId="52" borderId="23" xfId="87" applyNumberFormat="1" applyFont="1" applyFill="1" applyAlignment="1">
      <alignment horizontal="center" vertical="top"/>
    </xf>
    <xf numFmtId="164" fontId="58" fillId="52" borderId="23" xfId="87" applyNumberFormat="1" applyFont="1" applyFill="1" applyAlignment="1">
      <alignment horizontal="right" vertical="top"/>
    </xf>
    <xf numFmtId="164" fontId="58" fillId="52" borderId="42" xfId="87" applyNumberFormat="1" applyFont="1" applyFill="1" applyBorder="1" applyAlignment="1">
      <alignment horizontal="center" vertical="top"/>
    </xf>
    <xf numFmtId="0" fontId="60" fillId="48" borderId="52" xfId="59" applyFont="1" applyFill="1" applyBorder="1" applyAlignment="1">
      <alignment horizontal="center" vertical="top"/>
    </xf>
    <xf numFmtId="0" fontId="60" fillId="48" borderId="44" xfId="59" applyFont="1" applyFill="1" applyBorder="1" applyAlignment="1">
      <alignment horizontal="center" vertical="top" wrapText="1"/>
    </xf>
    <xf numFmtId="0" fontId="60" fillId="48" borderId="44" xfId="59" applyFont="1" applyFill="1" applyBorder="1" applyAlignment="1">
      <alignment horizontal="center" vertical="top"/>
    </xf>
    <xf numFmtId="164" fontId="60" fillId="48" borderId="53" xfId="59" applyNumberFormat="1" applyFont="1" applyFill="1" applyBorder="1" applyAlignment="1">
      <alignment horizontal="center" vertical="top"/>
    </xf>
    <xf numFmtId="164" fontId="61" fillId="48" borderId="53" xfId="59" applyNumberFormat="1" applyFont="1" applyFill="1" applyBorder="1" applyAlignment="1">
      <alignment horizontal="center" vertical="top"/>
    </xf>
    <xf numFmtId="0" fontId="60" fillId="48" borderId="53" xfId="59" applyFont="1" applyFill="1" applyBorder="1" applyAlignment="1">
      <alignment horizontal="center" vertical="top"/>
    </xf>
    <xf numFmtId="164" fontId="60" fillId="48" borderId="54" xfId="59" applyNumberFormat="1" applyFont="1" applyFill="1" applyBorder="1" applyAlignment="1">
      <alignment horizontal="center" vertical="top"/>
    </xf>
    <xf numFmtId="0" fontId="58" fillId="53" borderId="41" xfId="87" applyFont="1" applyFill="1" applyBorder="1" applyAlignment="1">
      <alignment horizontal="center" vertical="top"/>
    </xf>
    <xf numFmtId="0" fontId="58" fillId="53" borderId="23" xfId="87" applyFont="1" applyFill="1" applyAlignment="1">
      <alignment horizontal="center" vertical="top" wrapText="1"/>
    </xf>
    <xf numFmtId="0" fontId="58" fillId="53" borderId="23" xfId="87" applyFont="1" applyFill="1" applyAlignment="1">
      <alignment horizontal="center" vertical="top"/>
    </xf>
    <xf numFmtId="164" fontId="58" fillId="53" borderId="23" xfId="87" applyNumberFormat="1" applyFont="1" applyFill="1" applyAlignment="1">
      <alignment horizontal="center" vertical="top"/>
    </xf>
    <xf numFmtId="164" fontId="59" fillId="53" borderId="23" xfId="87" applyNumberFormat="1" applyFont="1" applyFill="1" applyAlignment="1">
      <alignment horizontal="center" vertical="top"/>
    </xf>
    <xf numFmtId="164" fontId="58" fillId="53" borderId="23" xfId="87" applyNumberFormat="1" applyFont="1" applyFill="1" applyAlignment="1">
      <alignment horizontal="right" vertical="top"/>
    </xf>
    <xf numFmtId="164" fontId="58" fillId="53" borderId="42" xfId="87" applyNumberFormat="1" applyFont="1" applyFill="1" applyBorder="1" applyAlignment="1">
      <alignment horizontal="center" vertical="top"/>
    </xf>
    <xf numFmtId="0" fontId="58" fillId="54" borderId="41" xfId="87" applyFont="1" applyFill="1" applyBorder="1" applyAlignment="1">
      <alignment horizontal="center" vertical="top"/>
    </xf>
    <xf numFmtId="0" fontId="58" fillId="54" borderId="23" xfId="87" applyFont="1" applyFill="1" applyAlignment="1">
      <alignment horizontal="center" vertical="top" wrapText="1"/>
    </xf>
    <xf numFmtId="0" fontId="58" fillId="54" borderId="23" xfId="87" applyFont="1" applyFill="1" applyAlignment="1">
      <alignment horizontal="center" vertical="top"/>
    </xf>
    <xf numFmtId="165" fontId="58" fillId="54" borderId="23" xfId="87" applyNumberFormat="1" applyFont="1" applyFill="1" applyAlignment="1">
      <alignment horizontal="center" vertical="top"/>
    </xf>
    <xf numFmtId="164" fontId="58" fillId="54" borderId="23" xfId="87" applyNumberFormat="1" applyFont="1" applyFill="1" applyAlignment="1">
      <alignment horizontal="center" vertical="top"/>
    </xf>
    <xf numFmtId="164" fontId="58" fillId="54" borderId="23" xfId="87" applyNumberFormat="1" applyFont="1" applyFill="1" applyAlignment="1">
      <alignment horizontal="right" vertical="top"/>
    </xf>
    <xf numFmtId="164" fontId="58" fillId="54" borderId="42" xfId="87" applyNumberFormat="1" applyFont="1" applyFill="1" applyBorder="1" applyAlignment="1">
      <alignment horizontal="center" vertical="top"/>
    </xf>
    <xf numFmtId="164" fontId="61" fillId="48" borderId="55" xfId="59" applyNumberFormat="1" applyFont="1" applyFill="1" applyBorder="1" applyAlignment="1">
      <alignment horizontal="center" vertical="top"/>
    </xf>
    <xf numFmtId="164" fontId="61" fillId="48" borderId="56" xfId="59" applyNumberFormat="1" applyFont="1" applyFill="1" applyBorder="1" applyAlignment="1">
      <alignment horizontal="center" vertical="top"/>
    </xf>
    <xf numFmtId="164" fontId="58" fillId="52" borderId="57" xfId="87" applyNumberFormat="1" applyFont="1" applyFill="1" applyBorder="1" applyAlignment="1">
      <alignment horizontal="center" vertical="top"/>
    </xf>
    <xf numFmtId="164" fontId="60" fillId="48" borderId="58" xfId="59" applyNumberFormat="1" applyFont="1" applyFill="1" applyBorder="1" applyAlignment="1">
      <alignment horizontal="center" vertical="top"/>
    </xf>
    <xf numFmtId="0" fontId="62" fillId="50" borderId="59" xfId="87" applyFont="1" applyFill="1" applyBorder="1" applyAlignment="1">
      <alignment horizontal="center" vertical="top"/>
    </xf>
    <xf numFmtId="0" fontId="62" fillId="50" borderId="60" xfId="87" applyFont="1" applyFill="1" applyBorder="1" applyAlignment="1">
      <alignment horizontal="center" vertical="top" wrapText="1"/>
    </xf>
    <xf numFmtId="0" fontId="62" fillId="50" borderId="60" xfId="87" applyFont="1" applyFill="1" applyBorder="1" applyAlignment="1">
      <alignment horizontal="center" vertical="top"/>
    </xf>
    <xf numFmtId="164" fontId="62" fillId="50" borderId="60" xfId="87" applyNumberFormat="1" applyFont="1" applyFill="1" applyBorder="1" applyAlignment="1">
      <alignment horizontal="center" vertical="top"/>
    </xf>
    <xf numFmtId="164" fontId="63" fillId="50" borderId="60" xfId="87" applyNumberFormat="1" applyFont="1" applyFill="1" applyBorder="1" applyAlignment="1">
      <alignment horizontal="center" vertical="top"/>
    </xf>
    <xf numFmtId="164" fontId="62" fillId="50" borderId="60" xfId="87" applyNumberFormat="1" applyFont="1" applyFill="1" applyBorder="1" applyAlignment="1">
      <alignment horizontal="right" vertical="top"/>
    </xf>
    <xf numFmtId="164" fontId="62" fillId="50" borderId="61" xfId="87" applyNumberFormat="1" applyFont="1" applyFill="1" applyBorder="1" applyAlignment="1">
      <alignment horizontal="center" vertical="top"/>
    </xf>
    <xf numFmtId="165" fontId="58" fillId="49" borderId="36" xfId="86" applyNumberFormat="1" applyFont="1" applyFill="1" applyBorder="1" applyAlignment="1">
      <alignment horizontal="center" vertical="top" wrapText="1"/>
    </xf>
    <xf numFmtId="165" fontId="59" fillId="49" borderId="36" xfId="86" applyNumberFormat="1" applyFont="1" applyFill="1" applyBorder="1" applyAlignment="1">
      <alignment horizontal="center" vertical="top" wrapText="1"/>
    </xf>
    <xf numFmtId="0" fontId="58" fillId="49" borderId="62" xfId="86" applyFont="1" applyFill="1" applyBorder="1" applyAlignment="1">
      <alignment horizontal="center" vertical="top" wrapText="1"/>
    </xf>
    <xf numFmtId="164" fontId="61" fillId="0" borderId="47" xfId="59" applyNumberFormat="1" applyFont="1" applyBorder="1" applyAlignment="1">
      <alignment horizontal="center" vertical="top"/>
    </xf>
    <xf numFmtId="0" fontId="58" fillId="56" borderId="37" xfId="86" applyFont="1" applyFill="1" applyBorder="1" applyAlignment="1">
      <alignment horizontal="center" vertical="top" wrapText="1"/>
    </xf>
    <xf numFmtId="0" fontId="58" fillId="56" borderId="38" xfId="86" applyFont="1" applyFill="1" applyBorder="1" applyAlignment="1">
      <alignment horizontal="center" vertical="top" wrapText="1"/>
    </xf>
    <xf numFmtId="165" fontId="58" fillId="56" borderId="36" xfId="86" applyNumberFormat="1" applyFont="1" applyFill="1" applyBorder="1" applyAlignment="1">
      <alignment horizontal="center" vertical="top" wrapText="1"/>
    </xf>
    <xf numFmtId="165" fontId="59" fillId="56" borderId="36" xfId="86" applyNumberFormat="1" applyFont="1" applyFill="1" applyBorder="1" applyAlignment="1">
      <alignment horizontal="center" vertical="top" wrapText="1"/>
    </xf>
    <xf numFmtId="0" fontId="58" fillId="56" borderId="62" xfId="86" applyFont="1" applyFill="1" applyBorder="1" applyAlignment="1">
      <alignment horizontal="center" vertical="top" wrapText="1"/>
    </xf>
    <xf numFmtId="0" fontId="62" fillId="55" borderId="59" xfId="87" applyFont="1" applyFill="1" applyBorder="1" applyAlignment="1">
      <alignment horizontal="center" vertical="top"/>
    </xf>
    <xf numFmtId="0" fontId="62" fillId="55" borderId="60" xfId="87" applyFont="1" applyFill="1" applyBorder="1" applyAlignment="1">
      <alignment horizontal="center" vertical="top" wrapText="1"/>
    </xf>
    <xf numFmtId="0" fontId="62" fillId="55" borderId="60" xfId="87" applyFont="1" applyFill="1" applyBorder="1" applyAlignment="1">
      <alignment horizontal="center" vertical="top"/>
    </xf>
    <xf numFmtId="164" fontId="62" fillId="55" borderId="60" xfId="87" applyNumberFormat="1" applyFont="1" applyFill="1" applyBorder="1" applyAlignment="1">
      <alignment horizontal="center" vertical="top"/>
    </xf>
    <xf numFmtId="164" fontId="63" fillId="55" borderId="60" xfId="87" applyNumberFormat="1" applyFont="1" applyFill="1" applyBorder="1" applyAlignment="1">
      <alignment horizontal="center" vertical="top"/>
    </xf>
    <xf numFmtId="164" fontId="62" fillId="55" borderId="60" xfId="87" applyNumberFormat="1" applyFont="1" applyFill="1" applyBorder="1" applyAlignment="1">
      <alignment horizontal="right" vertical="top"/>
    </xf>
    <xf numFmtId="164" fontId="62" fillId="55" borderId="61" xfId="87" applyNumberFormat="1" applyFont="1" applyFill="1" applyBorder="1" applyAlignment="1">
      <alignment horizontal="center" vertical="top"/>
    </xf>
    <xf numFmtId="0" fontId="62" fillId="57" borderId="41" xfId="87" applyFont="1" applyFill="1" applyBorder="1" applyAlignment="1">
      <alignment horizontal="center" vertical="top"/>
    </xf>
    <xf numFmtId="0" fontId="62" fillId="57" borderId="23" xfId="87" applyFont="1" applyFill="1" applyAlignment="1">
      <alignment horizontal="center" vertical="top" wrapText="1"/>
    </xf>
    <xf numFmtId="0" fontId="62" fillId="57" borderId="23" xfId="87" applyFont="1" applyFill="1" applyAlignment="1">
      <alignment horizontal="center" vertical="top"/>
    </xf>
    <xf numFmtId="164" fontId="62" fillId="57" borderId="23" xfId="87" applyNumberFormat="1" applyFont="1" applyFill="1" applyAlignment="1">
      <alignment horizontal="center" vertical="top"/>
    </xf>
    <xf numFmtId="164" fontId="63" fillId="57" borderId="23" xfId="87" applyNumberFormat="1" applyFont="1" applyFill="1" applyAlignment="1">
      <alignment horizontal="center" vertical="top"/>
    </xf>
    <xf numFmtId="164" fontId="62" fillId="57" borderId="23" xfId="87" applyNumberFormat="1" applyFont="1" applyFill="1" applyAlignment="1">
      <alignment horizontal="right" vertical="top"/>
    </xf>
    <xf numFmtId="164" fontId="62" fillId="57" borderId="42" xfId="87" applyNumberFormat="1" applyFont="1" applyFill="1" applyBorder="1" applyAlignment="1">
      <alignment horizontal="center" vertical="top"/>
    </xf>
    <xf numFmtId="0" fontId="58" fillId="58" borderId="41" xfId="87" applyFont="1" applyFill="1" applyBorder="1" applyAlignment="1">
      <alignment horizontal="center" vertical="top"/>
    </xf>
    <xf numFmtId="0" fontId="58" fillId="58" borderId="23" xfId="87" applyFont="1" applyFill="1" applyAlignment="1">
      <alignment horizontal="center" vertical="top" wrapText="1"/>
    </xf>
    <xf numFmtId="0" fontId="58" fillId="58" borderId="23" xfId="87" applyFont="1" applyFill="1" applyAlignment="1">
      <alignment horizontal="center" vertical="top"/>
    </xf>
    <xf numFmtId="164" fontId="58" fillId="58" borderId="23" xfId="87" applyNumberFormat="1" applyFont="1" applyFill="1" applyAlignment="1">
      <alignment horizontal="center" vertical="top"/>
    </xf>
    <xf numFmtId="164" fontId="59" fillId="58" borderId="23" xfId="87" applyNumberFormat="1" applyFont="1" applyFill="1" applyAlignment="1">
      <alignment horizontal="center" vertical="top"/>
    </xf>
    <xf numFmtId="164" fontId="58" fillId="58" borderId="57" xfId="87" applyNumberFormat="1" applyFont="1" applyFill="1" applyBorder="1" applyAlignment="1">
      <alignment horizontal="center" vertical="top"/>
    </xf>
    <xf numFmtId="164" fontId="58" fillId="58" borderId="23" xfId="87" applyNumberFormat="1" applyFont="1" applyFill="1" applyAlignment="1">
      <alignment horizontal="right" vertical="top"/>
    </xf>
    <xf numFmtId="164" fontId="58" fillId="58" borderId="42" xfId="87" applyNumberFormat="1" applyFont="1" applyFill="1" applyBorder="1" applyAlignment="1">
      <alignment horizontal="center" vertical="top"/>
    </xf>
    <xf numFmtId="0" fontId="58" fillId="59" borderId="41" xfId="87" applyFont="1" applyFill="1" applyBorder="1" applyAlignment="1">
      <alignment horizontal="center" vertical="top"/>
    </xf>
    <xf numFmtId="0" fontId="58" fillId="59" borderId="23" xfId="87" applyFont="1" applyFill="1" applyAlignment="1">
      <alignment horizontal="center" vertical="top" wrapText="1"/>
    </xf>
    <xf numFmtId="0" fontId="58" fillId="59" borderId="23" xfId="87" applyFont="1" applyFill="1" applyAlignment="1">
      <alignment horizontal="center" vertical="top"/>
    </xf>
    <xf numFmtId="164" fontId="58" fillId="59" borderId="23" xfId="87" applyNumberFormat="1" applyFont="1" applyFill="1" applyAlignment="1">
      <alignment horizontal="center" vertical="top"/>
    </xf>
    <xf numFmtId="164" fontId="59" fillId="59" borderId="23" xfId="87" applyNumberFormat="1" applyFont="1" applyFill="1" applyAlignment="1">
      <alignment horizontal="center" vertical="top"/>
    </xf>
    <xf numFmtId="164" fontId="58" fillId="59" borderId="23" xfId="87" applyNumberFormat="1" applyFont="1" applyFill="1" applyAlignment="1">
      <alignment horizontal="right" vertical="top"/>
    </xf>
    <xf numFmtId="164" fontId="58" fillId="59" borderId="42" xfId="87" applyNumberFormat="1" applyFont="1" applyFill="1" applyBorder="1" applyAlignment="1">
      <alignment horizontal="center" vertical="top"/>
    </xf>
    <xf numFmtId="0" fontId="58" fillId="60" borderId="41" xfId="87" applyFont="1" applyFill="1" applyBorder="1" applyAlignment="1">
      <alignment horizontal="center" vertical="top"/>
    </xf>
    <xf numFmtId="0" fontId="58" fillId="60" borderId="23" xfId="87" applyFont="1" applyFill="1" applyAlignment="1">
      <alignment horizontal="center" vertical="top" wrapText="1"/>
    </xf>
    <xf numFmtId="0" fontId="58" fillId="60" borderId="23" xfId="87" applyFont="1" applyFill="1" applyAlignment="1">
      <alignment horizontal="center" vertical="top"/>
    </xf>
    <xf numFmtId="165" fontId="58" fillId="60" borderId="23" xfId="87" applyNumberFormat="1" applyFont="1" applyFill="1" applyAlignment="1">
      <alignment horizontal="center" vertical="top"/>
    </xf>
    <xf numFmtId="164" fontId="58" fillId="60" borderId="23" xfId="87" applyNumberFormat="1" applyFont="1" applyFill="1" applyAlignment="1">
      <alignment horizontal="center" vertical="top"/>
    </xf>
    <xf numFmtId="164" fontId="58" fillId="60" borderId="23" xfId="87" applyNumberFormat="1" applyFont="1" applyFill="1" applyAlignment="1">
      <alignment horizontal="right" vertical="top"/>
    </xf>
    <xf numFmtId="164" fontId="58" fillId="60" borderId="42" xfId="87" applyNumberFormat="1" applyFont="1" applyFill="1" applyBorder="1" applyAlignment="1">
      <alignment horizontal="center" vertical="top"/>
    </xf>
    <xf numFmtId="0" fontId="4" fillId="0" borderId="0" xfId="11" applyAlignment="1" applyProtection="1"/>
    <xf numFmtId="0" fontId="10" fillId="6" borderId="0" xfId="0" applyFont="1" applyFill="1"/>
    <xf numFmtId="2" fontId="22" fillId="0" borderId="0" xfId="0" applyNumberFormat="1" applyFont="1" applyAlignment="1" applyProtection="1">
      <alignment horizontal="left"/>
      <protection locked="0"/>
    </xf>
    <xf numFmtId="164" fontId="0" fillId="0" borderId="0" xfId="0" applyNumberFormat="1" applyProtection="1">
      <protection locked="0"/>
    </xf>
    <xf numFmtId="44" fontId="0" fillId="0" borderId="0" xfId="0" applyNumberFormat="1" applyProtection="1">
      <protection locked="0"/>
    </xf>
    <xf numFmtId="3" fontId="48" fillId="41" borderId="0" xfId="85" applyNumberFormat="1" applyFill="1"/>
    <xf numFmtId="0" fontId="3" fillId="41" borderId="0" xfId="59" applyFill="1" applyAlignment="1">
      <alignment horizontal="right"/>
    </xf>
    <xf numFmtId="3" fontId="3" fillId="41" borderId="0" xfId="59" applyNumberFormat="1" applyFill="1"/>
    <xf numFmtId="0" fontId="13" fillId="41" borderId="0" xfId="0" applyFont="1" applyFill="1"/>
    <xf numFmtId="49" fontId="3" fillId="41" borderId="0" xfId="0" applyNumberFormat="1" applyFont="1" applyFill="1" applyAlignment="1">
      <alignment horizontal="center"/>
    </xf>
    <xf numFmtId="0" fontId="0" fillId="61" borderId="0" xfId="0" applyFill="1"/>
    <xf numFmtId="0" fontId="44" fillId="0" borderId="25" xfId="0" applyFont="1" applyBorder="1"/>
    <xf numFmtId="44" fontId="0" fillId="8" borderId="25" xfId="88" applyFont="1" applyFill="1" applyBorder="1"/>
    <xf numFmtId="164" fontId="11" fillId="48" borderId="25" xfId="0" applyNumberFormat="1" applyFont="1" applyFill="1" applyBorder="1"/>
    <xf numFmtId="0" fontId="11" fillId="8" borderId="26" xfId="0" applyFont="1" applyFill="1" applyBorder="1"/>
    <xf numFmtId="0" fontId="44" fillId="0" borderId="71" xfId="0" applyFont="1" applyBorder="1" applyAlignment="1">
      <alignment horizontal="center"/>
    </xf>
    <xf numFmtId="0" fontId="44" fillId="0" borderId="24" xfId="0" applyFont="1" applyBorder="1" applyAlignment="1">
      <alignment horizontal="center"/>
    </xf>
    <xf numFmtId="0" fontId="44" fillId="0" borderId="72" xfId="0" applyFont="1" applyBorder="1" applyAlignment="1">
      <alignment horizontal="center"/>
    </xf>
    <xf numFmtId="0" fontId="25" fillId="8" borderId="73" xfId="0" applyFont="1" applyFill="1" applyBorder="1"/>
    <xf numFmtId="171" fontId="0" fillId="8" borderId="74" xfId="88" applyNumberFormat="1" applyFont="1" applyFill="1" applyBorder="1"/>
    <xf numFmtId="171" fontId="0" fillId="8" borderId="75" xfId="88" applyNumberFormat="1" applyFont="1" applyFill="1" applyBorder="1"/>
    <xf numFmtId="0" fontId="5" fillId="2" borderId="0" xfId="0" applyFont="1" applyFill="1" applyAlignment="1">
      <alignment horizontal="left"/>
    </xf>
    <xf numFmtId="49" fontId="5" fillId="41" borderId="0" xfId="0" applyNumberFormat="1" applyFont="1" applyFill="1" applyAlignment="1">
      <alignment horizontal="left"/>
    </xf>
    <xf numFmtId="0" fontId="14" fillId="0" borderId="0" xfId="0" applyFont="1" applyProtection="1">
      <protection locked="0"/>
    </xf>
    <xf numFmtId="0" fontId="8" fillId="43" borderId="0" xfId="0" applyFont="1" applyFill="1" applyAlignment="1" applyProtection="1">
      <alignment horizontal="right"/>
      <protection locked="0"/>
    </xf>
    <xf numFmtId="166" fontId="3" fillId="0" borderId="0" xfId="0" applyNumberFormat="1" applyFont="1" applyAlignment="1" applyProtection="1">
      <alignment horizontal="right"/>
      <protection locked="0"/>
    </xf>
    <xf numFmtId="0" fontId="11" fillId="2" borderId="0" xfId="0" applyFont="1" applyFill="1" applyAlignment="1">
      <alignment wrapText="1"/>
    </xf>
    <xf numFmtId="0" fontId="11" fillId="2" borderId="0" xfId="0" applyFont="1" applyFill="1" applyAlignment="1">
      <alignment horizontal="left"/>
    </xf>
    <xf numFmtId="0" fontId="3" fillId="4" borderId="2" xfId="0" applyFont="1" applyFill="1" applyBorder="1" applyAlignment="1" applyProtection="1">
      <alignment horizontal="center" vertical="center"/>
      <protection locked="0"/>
    </xf>
    <xf numFmtId="0" fontId="3" fillId="4" borderId="3" xfId="0" applyFont="1" applyFill="1" applyBorder="1" applyAlignment="1" applyProtection="1">
      <alignment horizontal="center" vertical="center"/>
      <protection locked="0"/>
    </xf>
    <xf numFmtId="0" fontId="58" fillId="56" borderId="35" xfId="86" applyFont="1" applyFill="1" applyBorder="1" applyAlignment="1">
      <alignment horizontal="center" vertical="top" wrapText="1"/>
    </xf>
    <xf numFmtId="0" fontId="58" fillId="56" borderId="36" xfId="86" applyFont="1" applyFill="1" applyBorder="1" applyAlignment="1">
      <alignment horizontal="center" vertical="top" wrapText="1"/>
    </xf>
    <xf numFmtId="0" fontId="58" fillId="49" borderId="35" xfId="86" applyFont="1" applyFill="1" applyBorder="1" applyAlignment="1">
      <alignment horizontal="center" vertical="top" wrapText="1"/>
    </xf>
    <xf numFmtId="0" fontId="58" fillId="49" borderId="36" xfId="86" applyFont="1" applyFill="1" applyBorder="1" applyAlignment="1">
      <alignment horizontal="center" vertical="top" wrapText="1"/>
    </xf>
    <xf numFmtId="0" fontId="69" fillId="0" borderId="0" xfId="0" applyFont="1" applyAlignment="1">
      <alignment vertical="center"/>
    </xf>
    <xf numFmtId="0" fontId="69" fillId="0" borderId="0" xfId="0" applyFont="1" applyAlignment="1">
      <alignment horizontal="left"/>
    </xf>
    <xf numFmtId="0" fontId="69" fillId="0" borderId="0" xfId="0" applyFont="1" applyAlignment="1">
      <alignment horizontal="left" vertical="center"/>
    </xf>
    <xf numFmtId="0" fontId="70" fillId="0" borderId="0" xfId="0" applyFont="1" applyAlignment="1">
      <alignment vertical="center"/>
    </xf>
    <xf numFmtId="164" fontId="0" fillId="0" borderId="0" xfId="0" applyNumberFormat="1"/>
    <xf numFmtId="164" fontId="0" fillId="0" borderId="0" xfId="88" applyNumberFormat="1" applyFont="1"/>
    <xf numFmtId="0" fontId="8" fillId="43" borderId="0" xfId="0" applyFont="1" applyFill="1" applyAlignment="1" applyProtection="1">
      <alignment horizontal="right"/>
      <protection locked="0"/>
    </xf>
    <xf numFmtId="0" fontId="0" fillId="0" borderId="0" xfId="0" applyAlignment="1">
      <alignment horizontal="right"/>
    </xf>
    <xf numFmtId="0" fontId="13" fillId="0" borderId="3" xfId="0" applyFont="1" applyBorder="1" applyAlignment="1">
      <alignment horizontal="center" vertical="top" wrapText="1"/>
    </xf>
    <xf numFmtId="0" fontId="13" fillId="0" borderId="34" xfId="0" applyFont="1" applyBorder="1" applyAlignment="1">
      <alignment horizontal="center" vertical="top" wrapText="1"/>
    </xf>
    <xf numFmtId="0" fontId="3" fillId="0" borderId="8" xfId="0" applyFont="1" applyBorder="1" applyAlignment="1">
      <alignment vertical="top" wrapText="1"/>
    </xf>
    <xf numFmtId="167" fontId="28" fillId="8" borderId="9" xfId="0" applyNumberFormat="1" applyFont="1" applyFill="1" applyBorder="1" applyAlignment="1" applyProtection="1">
      <alignment horizontal="left"/>
      <protection locked="0"/>
    </xf>
    <xf numFmtId="0" fontId="29" fillId="8" borderId="10" xfId="0" applyFont="1" applyFill="1" applyBorder="1" applyAlignment="1" applyProtection="1">
      <alignment horizontal="left"/>
      <protection locked="0"/>
    </xf>
    <xf numFmtId="0" fontId="10" fillId="44" borderId="5" xfId="0" applyFont="1" applyFill="1" applyBorder="1" applyAlignment="1" applyProtection="1">
      <alignment horizontal="center"/>
      <protection locked="0"/>
    </xf>
    <xf numFmtId="0" fontId="0" fillId="44" borderId="7" xfId="0" applyFill="1" applyBorder="1" applyAlignment="1" applyProtection="1">
      <alignment horizontal="center"/>
      <protection locked="0"/>
    </xf>
    <xf numFmtId="0" fontId="28" fillId="8" borderId="12" xfId="0" applyFont="1" applyFill="1" applyBorder="1" applyAlignment="1" applyProtection="1">
      <alignment horizontal="left"/>
      <protection locked="0"/>
    </xf>
    <xf numFmtId="0" fontId="0" fillId="8" borderId="14" xfId="0" applyFill="1" applyBorder="1" applyAlignment="1">
      <alignment horizontal="left"/>
    </xf>
    <xf numFmtId="0" fontId="14" fillId="0" borderId="0" xfId="0" applyFont="1" applyProtection="1">
      <protection locked="0"/>
    </xf>
    <xf numFmtId="166" fontId="3" fillId="0" borderId="0" xfId="0" applyNumberFormat="1" applyFont="1" applyAlignment="1" applyProtection="1">
      <alignment horizontal="right"/>
      <protection locked="0"/>
    </xf>
    <xf numFmtId="166" fontId="3" fillId="0" borderId="4" xfId="0" applyNumberFormat="1" applyFont="1" applyBorder="1" applyAlignment="1" applyProtection="1">
      <alignment horizontal="right"/>
      <protection locked="0"/>
    </xf>
    <xf numFmtId="166" fontId="3" fillId="0" borderId="0" xfId="0" applyNumberFormat="1" applyFont="1" applyAlignment="1" applyProtection="1">
      <alignment horizontal="left" indent="1"/>
      <protection locked="0"/>
    </xf>
    <xf numFmtId="166" fontId="3" fillId="0" borderId="4" xfId="0" applyNumberFormat="1" applyFont="1" applyBorder="1" applyAlignment="1" applyProtection="1">
      <alignment horizontal="left" indent="1"/>
      <protection locked="0"/>
    </xf>
    <xf numFmtId="0" fontId="65" fillId="6" borderId="0" xfId="11" applyFont="1" applyFill="1" applyAlignment="1" applyProtection="1">
      <alignment horizontal="left"/>
    </xf>
    <xf numFmtId="0" fontId="65" fillId="6" borderId="4" xfId="11" applyFont="1" applyFill="1" applyBorder="1" applyAlignment="1" applyProtection="1">
      <alignment horizontal="left"/>
    </xf>
    <xf numFmtId="0" fontId="16" fillId="0" borderId="0" xfId="11" applyFont="1" applyAlignment="1" applyProtection="1">
      <alignment horizontal="center" vertical="center" wrapText="1"/>
    </xf>
    <xf numFmtId="0" fontId="25" fillId="0" borderId="0" xfId="0" applyFont="1" applyAlignment="1" applyProtection="1">
      <alignment horizontal="center"/>
      <protection locked="0"/>
    </xf>
    <xf numFmtId="0" fontId="13" fillId="5" borderId="0" xfId="0" applyFont="1" applyFill="1" applyAlignment="1">
      <alignment horizontal="center" vertical="center" textRotation="90" wrapText="1"/>
    </xf>
    <xf numFmtId="0" fontId="3" fillId="4" borderId="5" xfId="0" applyFont="1" applyFill="1" applyBorder="1" applyAlignment="1" applyProtection="1">
      <alignment horizontal="center" vertical="center"/>
      <protection locked="0"/>
    </xf>
    <xf numFmtId="0" fontId="3" fillId="4" borderId="7" xfId="0" applyFont="1" applyFill="1" applyBorder="1" applyAlignment="1" applyProtection="1">
      <alignment horizontal="center" vertical="center"/>
      <protection locked="0"/>
    </xf>
    <xf numFmtId="0" fontId="11" fillId="2" borderId="0" xfId="0" applyFont="1" applyFill="1" applyAlignment="1">
      <alignment wrapText="1"/>
    </xf>
    <xf numFmtId="0" fontId="11" fillId="2" borderId="0" xfId="0" applyFont="1" applyFill="1" applyAlignment="1">
      <alignment horizontal="left"/>
    </xf>
    <xf numFmtId="0" fontId="13" fillId="5" borderId="5" xfId="0" applyFont="1" applyFill="1" applyBorder="1" applyAlignment="1">
      <alignment horizontal="center" vertical="center"/>
    </xf>
    <xf numFmtId="0" fontId="13" fillId="5" borderId="6" xfId="0" applyFont="1" applyFill="1" applyBorder="1" applyAlignment="1">
      <alignment horizontal="center" vertical="center"/>
    </xf>
    <xf numFmtId="0" fontId="13" fillId="5" borderId="7" xfId="0" applyFont="1" applyFill="1" applyBorder="1" applyAlignment="1">
      <alignment horizontal="center" vertical="center"/>
    </xf>
    <xf numFmtId="0" fontId="3" fillId="0" borderId="0" xfId="0" applyFont="1" applyAlignment="1">
      <alignment textRotation="90" wrapText="1"/>
    </xf>
    <xf numFmtId="0" fontId="3" fillId="4" borderId="2" xfId="0" applyFont="1" applyFill="1" applyBorder="1" applyAlignment="1" applyProtection="1">
      <alignment horizontal="center" vertical="center"/>
      <protection locked="0"/>
    </xf>
    <xf numFmtId="0" fontId="3" fillId="4" borderId="3" xfId="0" applyFont="1" applyFill="1" applyBorder="1" applyAlignment="1" applyProtection="1">
      <alignment horizontal="center" vertical="center"/>
      <protection locked="0"/>
    </xf>
    <xf numFmtId="0" fontId="11" fillId="2" borderId="0" xfId="0" applyFont="1" applyFill="1" applyAlignment="1">
      <alignment horizontal="left" wrapText="1"/>
    </xf>
    <xf numFmtId="0" fontId="3" fillId="2" borderId="0" xfId="0" applyFont="1" applyFill="1" applyAlignment="1">
      <alignment horizontal="center" wrapText="1"/>
    </xf>
    <xf numFmtId="0" fontId="3" fillId="2" borderId="0" xfId="0" applyFont="1" applyFill="1" applyAlignment="1">
      <alignment horizontal="left" wrapText="1"/>
    </xf>
    <xf numFmtId="0" fontId="0" fillId="2" borderId="0" xfId="0" applyFill="1" applyAlignment="1">
      <alignment horizontal="left" wrapText="1"/>
    </xf>
    <xf numFmtId="0" fontId="44" fillId="0" borderId="68" xfId="0" applyFont="1" applyBorder="1" applyAlignment="1">
      <alignment horizontal="center"/>
    </xf>
    <xf numFmtId="0" fontId="44" fillId="0" borderId="69" xfId="0" applyFont="1" applyBorder="1" applyAlignment="1">
      <alignment horizontal="center"/>
    </xf>
    <xf numFmtId="0" fontId="44" fillId="0" borderId="70" xfId="0" applyFont="1" applyBorder="1" applyAlignment="1">
      <alignment horizontal="center"/>
    </xf>
    <xf numFmtId="0" fontId="58" fillId="56" borderId="35" xfId="86" applyFont="1" applyFill="1" applyBorder="1" applyAlignment="1">
      <alignment horizontal="center" vertical="top" wrapText="1"/>
    </xf>
    <xf numFmtId="0" fontId="58" fillId="56" borderId="36" xfId="86" applyFont="1" applyFill="1" applyBorder="1" applyAlignment="1">
      <alignment horizontal="center" vertical="top" wrapText="1"/>
    </xf>
    <xf numFmtId="0" fontId="58" fillId="56" borderId="39" xfId="86" applyFont="1" applyFill="1" applyBorder="1" applyAlignment="1">
      <alignment horizontal="center" vertical="top" wrapText="1"/>
    </xf>
    <xf numFmtId="0" fontId="64" fillId="0" borderId="63" xfId="11" applyFont="1" applyBorder="1" applyAlignment="1" applyProtection="1">
      <alignment horizontal="center"/>
    </xf>
    <xf numFmtId="0" fontId="64" fillId="0" borderId="64" xfId="11" applyFont="1" applyBorder="1" applyAlignment="1" applyProtection="1">
      <alignment horizontal="center"/>
    </xf>
    <xf numFmtId="0" fontId="64" fillId="0" borderId="65" xfId="11" applyFont="1" applyBorder="1" applyAlignment="1" applyProtection="1">
      <alignment horizontal="center"/>
    </xf>
    <xf numFmtId="0" fontId="64" fillId="0" borderId="33" xfId="11" applyFont="1" applyBorder="1" applyAlignment="1" applyProtection="1">
      <alignment horizontal="center"/>
    </xf>
    <xf numFmtId="0" fontId="64" fillId="0" borderId="32" xfId="11" applyFont="1" applyBorder="1" applyAlignment="1" applyProtection="1">
      <alignment horizontal="center"/>
    </xf>
    <xf numFmtId="0" fontId="64" fillId="0" borderId="66" xfId="11" applyFont="1" applyBorder="1" applyAlignment="1" applyProtection="1">
      <alignment horizontal="center"/>
    </xf>
    <xf numFmtId="0" fontId="64" fillId="0" borderId="31" xfId="11" applyFont="1" applyBorder="1" applyAlignment="1" applyProtection="1">
      <alignment horizontal="center"/>
    </xf>
    <xf numFmtId="0" fontId="64" fillId="0" borderId="30" xfId="11" applyFont="1" applyBorder="1" applyAlignment="1" applyProtection="1">
      <alignment horizontal="center"/>
    </xf>
    <xf numFmtId="0" fontId="64" fillId="0" borderId="67" xfId="11" applyFont="1" applyBorder="1" applyAlignment="1" applyProtection="1">
      <alignment horizontal="center"/>
    </xf>
    <xf numFmtId="0" fontId="58" fillId="49" borderId="35" xfId="86" applyFont="1" applyFill="1" applyBorder="1" applyAlignment="1">
      <alignment horizontal="center" vertical="top" wrapText="1"/>
    </xf>
    <xf numFmtId="0" fontId="58" fillId="49" borderId="36" xfId="86" applyFont="1" applyFill="1" applyBorder="1" applyAlignment="1">
      <alignment horizontal="center" vertical="top" wrapText="1"/>
    </xf>
    <xf numFmtId="0" fontId="58" fillId="49" borderId="39" xfId="86" applyFont="1" applyFill="1" applyBorder="1" applyAlignment="1">
      <alignment horizontal="center" vertical="top" wrapText="1"/>
    </xf>
  </cellXfs>
  <cellStyles count="89">
    <cellStyle name="20% - Accent1" xfId="33" builtinId="30" customBuiltin="1"/>
    <cellStyle name="20% - Accent1 2" xfId="70" xr:uid="{00000000-0005-0000-0000-000001000000}"/>
    <cellStyle name="20% - Accent2" xfId="37" builtinId="34" customBuiltin="1"/>
    <cellStyle name="20% - Accent2 2" xfId="72" xr:uid="{00000000-0005-0000-0000-000003000000}"/>
    <cellStyle name="20% - Accent3" xfId="41" builtinId="38" customBuiltin="1"/>
    <cellStyle name="20% - Accent3 2" xfId="74" xr:uid="{00000000-0005-0000-0000-000005000000}"/>
    <cellStyle name="20% - Accent4" xfId="45" builtinId="42" customBuiltin="1"/>
    <cellStyle name="20% - Accent4 2" xfId="76" xr:uid="{00000000-0005-0000-0000-000007000000}"/>
    <cellStyle name="20% - Accent5" xfId="49" builtinId="46" customBuiltin="1"/>
    <cellStyle name="20% - Accent5 2" xfId="78" xr:uid="{00000000-0005-0000-0000-000009000000}"/>
    <cellStyle name="20% - Accent6" xfId="53" builtinId="50" customBuiltin="1"/>
    <cellStyle name="20% - Accent6 2" xfId="80" xr:uid="{00000000-0005-0000-0000-00000B000000}"/>
    <cellStyle name="40% - Accent1" xfId="34" builtinId="31" customBuiltin="1"/>
    <cellStyle name="40% - Accent1 2" xfId="71" xr:uid="{00000000-0005-0000-0000-00000D000000}"/>
    <cellStyle name="40% - Accent2" xfId="38" builtinId="35" customBuiltin="1"/>
    <cellStyle name="40% - Accent2 2" xfId="73" xr:uid="{00000000-0005-0000-0000-00000F000000}"/>
    <cellStyle name="40% - Accent3" xfId="42" builtinId="39" customBuiltin="1"/>
    <cellStyle name="40% - Accent3 2" xfId="75" xr:uid="{00000000-0005-0000-0000-000011000000}"/>
    <cellStyle name="40% - Accent4" xfId="46" builtinId="43" customBuiltin="1"/>
    <cellStyle name="40% - Accent4 2" xfId="77" xr:uid="{00000000-0005-0000-0000-000013000000}"/>
    <cellStyle name="40% - Accent5" xfId="50" builtinId="47" customBuiltin="1"/>
    <cellStyle name="40% - Accent5 2" xfId="79" xr:uid="{00000000-0005-0000-0000-000015000000}"/>
    <cellStyle name="40% - Accent6" xfId="54" builtinId="51" customBuiltin="1"/>
    <cellStyle name="40% - Accent6 2" xfId="81" xr:uid="{00000000-0005-0000-0000-000017000000}"/>
    <cellStyle name="60% - Accent1" xfId="35" builtinId="32" customBuiltin="1"/>
    <cellStyle name="60% - Accent2" xfId="39" builtinId="36" customBuiltin="1"/>
    <cellStyle name="60% - Accent3" xfId="43" builtinId="40" customBuiltin="1"/>
    <cellStyle name="60% - Accent4" xfId="47" builtinId="44" customBuiltin="1"/>
    <cellStyle name="60% - Accent5" xfId="51" builtinId="48" customBuiltin="1"/>
    <cellStyle name="60% - Accent6" xfId="55" builtinId="52" customBuiltin="1"/>
    <cellStyle name="Accent1" xfId="32" builtinId="29" customBuiltin="1"/>
    <cellStyle name="Accent2" xfId="36" builtinId="33" customBuiltin="1"/>
    <cellStyle name="Accent3" xfId="40" builtinId="37" customBuiltin="1"/>
    <cellStyle name="Accent4" xfId="44" builtinId="41" customBuiltin="1"/>
    <cellStyle name="Accent5" xfId="48" builtinId="45" customBuiltin="1"/>
    <cellStyle name="Accent6" xfId="52" builtinId="49" customBuiltin="1"/>
    <cellStyle name="Bad" xfId="23" builtinId="27" customBuiltin="1"/>
    <cellStyle name="Calculation" xfId="27" builtinId="22" customBuiltin="1"/>
    <cellStyle name="Check Cell" xfId="29" builtinId="23" customBuiltin="1"/>
    <cellStyle name="Comma 2" xfId="1" xr:uid="{00000000-0005-0000-0000-000027000000}"/>
    <cellStyle name="Comma 2 2" xfId="2" xr:uid="{00000000-0005-0000-0000-000028000000}"/>
    <cellStyle name="Comma 2 3" xfId="61" xr:uid="{00000000-0005-0000-0000-000029000000}"/>
    <cellStyle name="Comma 3" xfId="57" xr:uid="{00000000-0005-0000-0000-00002A000000}"/>
    <cellStyle name="Comma0" xfId="3" xr:uid="{00000000-0005-0000-0000-00002B000000}"/>
    <cellStyle name="Currency" xfId="88" builtinId="4"/>
    <cellStyle name="Currency 2" xfId="4" xr:uid="{00000000-0005-0000-0000-00002D000000}"/>
    <cellStyle name="Currency 2 2" xfId="5" xr:uid="{00000000-0005-0000-0000-00002E000000}"/>
    <cellStyle name="Currency 2 3" xfId="62" xr:uid="{00000000-0005-0000-0000-00002F000000}"/>
    <cellStyle name="Currency 3" xfId="58" xr:uid="{00000000-0005-0000-0000-000030000000}"/>
    <cellStyle name="Currency0" xfId="6" xr:uid="{00000000-0005-0000-0000-000031000000}"/>
    <cellStyle name="Date" xfId="7" xr:uid="{00000000-0005-0000-0000-000032000000}"/>
    <cellStyle name="Explanatory Text" xfId="31" builtinId="53" customBuiltin="1"/>
    <cellStyle name="Fixed" xfId="8" xr:uid="{00000000-0005-0000-0000-000034000000}"/>
    <cellStyle name="Good" xfId="22" builtinId="26" customBuiltin="1"/>
    <cellStyle name="Heading 1 2" xfId="9" xr:uid="{00000000-0005-0000-0000-000036000000}"/>
    <cellStyle name="Heading 1 2 2" xfId="65" xr:uid="{00000000-0005-0000-0000-000037000000}"/>
    <cellStyle name="Heading 2" xfId="86" builtinId="17"/>
    <cellStyle name="Heading 2 2" xfId="10" xr:uid="{00000000-0005-0000-0000-000039000000}"/>
    <cellStyle name="Heading 2 2 2" xfId="66" xr:uid="{00000000-0005-0000-0000-00003A000000}"/>
    <cellStyle name="Heading 3" xfId="20" builtinId="18" customBuiltin="1"/>
    <cellStyle name="Heading 4" xfId="21" builtinId="19" customBuiltin="1"/>
    <cellStyle name="Hyperlink" xfId="11" builtinId="8"/>
    <cellStyle name="Hyperlink 2" xfId="12" xr:uid="{00000000-0005-0000-0000-00003E000000}"/>
    <cellStyle name="Input" xfId="25" builtinId="20" customBuiltin="1"/>
    <cellStyle name="Linked Cell" xfId="28" builtinId="24" customBuiltin="1"/>
    <cellStyle name="Neutral" xfId="24" builtinId="28" customBuiltin="1"/>
    <cellStyle name="Normal" xfId="0" builtinId="0"/>
    <cellStyle name="Normal 2" xfId="13" xr:uid="{00000000-0005-0000-0000-000043000000}"/>
    <cellStyle name="Normal 2 2" xfId="59" xr:uid="{00000000-0005-0000-0000-000044000000}"/>
    <cellStyle name="Normal 3" xfId="64" xr:uid="{00000000-0005-0000-0000-000045000000}"/>
    <cellStyle name="Normal 3 2" xfId="82" xr:uid="{00000000-0005-0000-0000-000046000000}"/>
    <cellStyle name="Normal 4" xfId="56" xr:uid="{00000000-0005-0000-0000-000047000000}"/>
    <cellStyle name="Note 2" xfId="67" xr:uid="{00000000-0005-0000-0000-000048000000}"/>
    <cellStyle name="Note 2 2" xfId="83" xr:uid="{00000000-0005-0000-0000-000049000000}"/>
    <cellStyle name="Output" xfId="26" builtinId="21" customBuiltin="1"/>
    <cellStyle name="Percent" xfId="14" builtinId="5"/>
    <cellStyle name="Percent 2" xfId="15" xr:uid="{00000000-0005-0000-0000-00004C000000}"/>
    <cellStyle name="Percent 2 2" xfId="16" xr:uid="{00000000-0005-0000-0000-00004D000000}"/>
    <cellStyle name="Percent 2 2 2" xfId="60" xr:uid="{00000000-0005-0000-0000-00004E000000}"/>
    <cellStyle name="Percent 2 3" xfId="63" xr:uid="{00000000-0005-0000-0000-00004F000000}"/>
    <cellStyle name="Percent 3" xfId="17" xr:uid="{00000000-0005-0000-0000-000050000000}"/>
    <cellStyle name="Percent 3 2" xfId="68" xr:uid="{00000000-0005-0000-0000-000051000000}"/>
    <cellStyle name="Percent 3 3" xfId="84" xr:uid="{00000000-0005-0000-0000-000052000000}"/>
    <cellStyle name="Percent 4" xfId="85" xr:uid="{00000000-0005-0000-0000-000053000000}"/>
    <cellStyle name="Title" xfId="19" builtinId="15" customBuiltin="1"/>
    <cellStyle name="Total" xfId="87" builtinId="25"/>
    <cellStyle name="Total 2" xfId="18" xr:uid="{00000000-0005-0000-0000-000056000000}"/>
    <cellStyle name="Total 2 2" xfId="69" xr:uid="{00000000-0005-0000-0000-000057000000}"/>
    <cellStyle name="Warning Text" xfId="30" builtinId="11" customBuiltin="1"/>
  </cellStyles>
  <dxfs count="0"/>
  <tableStyles count="0" defaultTableStyle="TableStyleMedium9" defaultPivotStyle="PivotStyleLight16"/>
  <colors>
    <mruColors>
      <color rgb="FFFFFF99"/>
      <color rgb="FFC0C0C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06-NIH_complete_budget-09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ospa.iastate.edu/Documents%20and%20Settings/bmneese/Local%20Settings/Temporary%20Internet%20Files/Content.Outlook/QHP08TJ8/BOB-2011-06-2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ce Page"/>
      <sheetName val="Base Budget"/>
      <sheetName val="Mod Budget Form"/>
      <sheetName val="Form Page 4"/>
      <sheetName val="Form Page 5"/>
      <sheetName val="Checklist"/>
    </sheetNames>
    <sheetDataSet>
      <sheetData sheetId="0" refreshError="1"/>
      <sheetData sheetId="1"/>
      <sheetData sheetId="2" refreshError="1"/>
      <sheetData sheetId="3"/>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here"/>
      <sheetName val="Salaries &amp; Wages"/>
      <sheetName val="Equip-Travel-Participants"/>
      <sheetName val="Other Direct"/>
      <sheetName val="Subcontracts"/>
      <sheetName val="Cumulative Budget"/>
      <sheetName val="Links"/>
      <sheetName val="Sheet1"/>
      <sheetName val="Salaries &amp;#38;#38;#38; Wages"/>
      <sheetName val="form page 4"/>
      <sheetName val="Travel"/>
      <sheetName val="Summary"/>
      <sheetName val="Budget for Modular Grant"/>
    </sheetNames>
    <sheetDataSet>
      <sheetData sheetId="0"/>
      <sheetData sheetId="1"/>
      <sheetData sheetId="2"/>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grad-college.iastate.edu/handbook/chapter.php?id=3" TargetMode="External"/><Relationship Id="rId1" Type="http://schemas.openxmlformats.org/officeDocument/2006/relationships/hyperlink" Target="http://www.controller.iastate.edu/spa/PSC.pdf"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controller.iastate.edu/travelinformation/homepage.htm" TargetMode="External"/><Relationship Id="rId1" Type="http://schemas.openxmlformats.org/officeDocument/2006/relationships/hyperlink" Target="https://aoprals.state.gov/web920/per_diem.as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34"/>
    <pageSetUpPr fitToPage="1"/>
  </sheetPr>
  <dimension ref="A1:AE145"/>
  <sheetViews>
    <sheetView tabSelected="1" zoomScale="70" zoomScaleNormal="70" workbookViewId="0">
      <pane ySplit="12" topLeftCell="A13" activePane="bottomLeft" state="frozen"/>
      <selection pane="bottomLeft" activeCell="E34" sqref="E34"/>
    </sheetView>
  </sheetViews>
  <sheetFormatPr defaultColWidth="8.81640625" defaultRowHeight="12.5" x14ac:dyDescent="0.25"/>
  <cols>
    <col min="1" max="1" width="5" style="62" customWidth="1"/>
    <col min="2" max="2" width="3.1796875" style="62" customWidth="1"/>
    <col min="3" max="3" width="28.54296875" style="62" customWidth="1"/>
    <col min="4" max="4" width="11.1796875" style="62" customWidth="1"/>
    <col min="5" max="5" width="12.7265625" style="62" customWidth="1"/>
    <col min="6" max="6" width="13" style="62" customWidth="1"/>
    <col min="7" max="7" width="14.26953125" style="62" customWidth="1"/>
    <col min="8" max="9" width="14.81640625" style="62" customWidth="1"/>
    <col min="10" max="15" width="15" style="62" customWidth="1"/>
    <col min="16" max="17" width="14.81640625" style="62" customWidth="1"/>
    <col min="18" max="20" width="15.453125" style="62" customWidth="1"/>
    <col min="21" max="21" width="11.26953125" style="1" bestFit="1" customWidth="1"/>
    <col min="22" max="22" width="11.26953125" style="1" customWidth="1"/>
    <col min="30" max="30" width="12.54296875" bestFit="1" customWidth="1"/>
  </cols>
  <sheetData>
    <row r="1" spans="1:31" ht="18" x14ac:dyDescent="0.4">
      <c r="A1" s="173" t="s">
        <v>0</v>
      </c>
      <c r="B1" s="174"/>
      <c r="C1" s="174"/>
      <c r="D1" s="174"/>
      <c r="E1" s="174"/>
      <c r="F1" s="174"/>
      <c r="G1" s="174"/>
      <c r="H1" s="175"/>
      <c r="I1" s="175"/>
      <c r="J1" s="175"/>
      <c r="K1" s="175"/>
      <c r="L1" s="175"/>
      <c r="M1" s="175"/>
      <c r="N1" s="175"/>
      <c r="O1" s="175"/>
      <c r="P1" s="176"/>
      <c r="Q1" s="176"/>
      <c r="R1" s="176"/>
      <c r="S1" s="421" t="s">
        <v>1</v>
      </c>
      <c r="T1" s="422"/>
    </row>
    <row r="2" spans="1:31" ht="18" x14ac:dyDescent="0.4">
      <c r="A2" s="174"/>
      <c r="B2" s="174"/>
      <c r="C2" s="174"/>
      <c r="D2" s="174"/>
      <c r="E2" s="174"/>
      <c r="F2" s="174"/>
      <c r="G2" s="174"/>
      <c r="H2" s="174"/>
      <c r="I2" s="174"/>
      <c r="J2" s="174"/>
      <c r="K2" s="174"/>
      <c r="L2" s="174"/>
      <c r="M2" s="174"/>
      <c r="N2" s="174"/>
      <c r="O2" s="174"/>
      <c r="P2" s="176"/>
      <c r="Q2" s="176"/>
      <c r="R2" s="176"/>
      <c r="S2" s="425" t="s">
        <v>2</v>
      </c>
      <c r="T2" s="426"/>
      <c r="U2" s="76"/>
      <c r="V2" s="76"/>
    </row>
    <row r="3" spans="1:31" ht="15.5" x14ac:dyDescent="0.35">
      <c r="A3" s="177" t="s">
        <v>3</v>
      </c>
      <c r="B3" s="177"/>
      <c r="C3" s="177" t="s">
        <v>4</v>
      </c>
      <c r="D3" s="177"/>
      <c r="E3" s="416" t="s">
        <v>5</v>
      </c>
      <c r="F3" s="417"/>
      <c r="G3" s="182">
        <v>45778</v>
      </c>
      <c r="H3" s="176"/>
      <c r="I3" s="186" t="s">
        <v>6</v>
      </c>
      <c r="J3" s="177"/>
      <c r="K3" s="176"/>
      <c r="L3" s="176"/>
      <c r="M3" s="176"/>
      <c r="N3" s="176"/>
      <c r="O3" s="176"/>
      <c r="P3" s="176"/>
      <c r="Q3" s="176"/>
      <c r="R3" s="176"/>
      <c r="S3" s="176"/>
      <c r="T3" s="176"/>
      <c r="U3" s="235"/>
      <c r="V3" s="235"/>
    </row>
    <row r="4" spans="1:31" ht="15.75" customHeight="1" x14ac:dyDescent="0.35">
      <c r="A4" s="177" t="s">
        <v>7</v>
      </c>
      <c r="B4" s="177"/>
      <c r="C4" s="177"/>
      <c r="D4" s="177"/>
      <c r="E4" s="183"/>
      <c r="F4" s="400" t="s">
        <v>8</v>
      </c>
      <c r="G4" s="216">
        <v>0</v>
      </c>
      <c r="H4" s="237">
        <f>TRUNC(G4, 4)</f>
        <v>0</v>
      </c>
      <c r="I4" s="187" t="s">
        <v>9</v>
      </c>
      <c r="J4" s="187"/>
      <c r="K4" s="188"/>
      <c r="L4" s="188"/>
      <c r="M4" s="188"/>
      <c r="N4" s="188"/>
      <c r="O4" s="188"/>
      <c r="P4" s="188"/>
      <c r="Q4" s="188"/>
      <c r="R4" s="188"/>
      <c r="S4" s="176"/>
      <c r="T4" s="176"/>
      <c r="U4" s="210" t="s">
        <v>10</v>
      </c>
      <c r="V4" s="210"/>
      <c r="W4" s="261" t="s">
        <v>11</v>
      </c>
    </row>
    <row r="5" spans="1:31" ht="15.5" x14ac:dyDescent="0.35">
      <c r="A5" s="177" t="s">
        <v>12</v>
      </c>
      <c r="B5" s="177"/>
      <c r="C5" s="177" t="s">
        <v>13</v>
      </c>
      <c r="D5" s="177"/>
      <c r="E5" s="183"/>
      <c r="F5" s="400" t="s">
        <v>14</v>
      </c>
      <c r="G5" s="184" t="s">
        <v>10</v>
      </c>
      <c r="H5" s="185"/>
      <c r="I5" s="187" t="s">
        <v>15</v>
      </c>
      <c r="J5" s="187"/>
      <c r="K5" s="188"/>
      <c r="L5" s="188"/>
      <c r="M5" s="188"/>
      <c r="N5" s="188"/>
      <c r="O5" s="188"/>
      <c r="P5" s="188"/>
      <c r="Q5" s="188"/>
      <c r="R5" s="188"/>
      <c r="S5" s="176"/>
      <c r="T5" s="176"/>
      <c r="U5" s="210" t="s">
        <v>16</v>
      </c>
      <c r="V5" s="210"/>
      <c r="W5" s="261" t="s">
        <v>17</v>
      </c>
    </row>
    <row r="6" spans="1:31" ht="15.5" x14ac:dyDescent="0.35">
      <c r="A6" s="177" t="s">
        <v>18</v>
      </c>
      <c r="B6" s="177"/>
      <c r="C6" s="177" t="s">
        <v>276</v>
      </c>
      <c r="D6" s="177"/>
      <c r="E6" s="177"/>
      <c r="F6" s="400" t="s">
        <v>19</v>
      </c>
      <c r="G6" s="263" t="s">
        <v>17</v>
      </c>
      <c r="H6" s="176"/>
      <c r="I6" s="187" t="s">
        <v>20</v>
      </c>
      <c r="J6" s="187"/>
      <c r="K6" s="188"/>
      <c r="L6" s="188"/>
      <c r="M6" s="188"/>
      <c r="N6" s="188"/>
      <c r="O6" s="188"/>
      <c r="P6" s="188"/>
      <c r="Q6" s="188"/>
      <c r="R6" s="188"/>
      <c r="S6" s="176"/>
      <c r="T6" s="176"/>
      <c r="U6" s="210" t="s">
        <v>21</v>
      </c>
      <c r="V6" s="210"/>
    </row>
    <row r="7" spans="1:31" ht="15.5" x14ac:dyDescent="0.35">
      <c r="A7" s="177" t="s">
        <v>22</v>
      </c>
      <c r="B7" s="177"/>
      <c r="C7" s="177"/>
      <c r="D7" s="178"/>
      <c r="E7" s="178"/>
      <c r="F7" s="178"/>
      <c r="G7" s="178"/>
      <c r="H7" s="176"/>
      <c r="I7" s="187" t="s">
        <v>23</v>
      </c>
      <c r="J7" s="189"/>
      <c r="K7" s="188"/>
      <c r="L7" s="188"/>
      <c r="M7" s="188"/>
      <c r="N7" s="188"/>
      <c r="O7" s="188"/>
      <c r="P7" s="188"/>
      <c r="Q7" s="188"/>
      <c r="R7" s="188"/>
      <c r="S7" s="179"/>
      <c r="T7" s="179"/>
      <c r="U7" s="210" t="s">
        <v>24</v>
      </c>
      <c r="V7" s="210"/>
    </row>
    <row r="8" spans="1:31" ht="8.15" customHeight="1" x14ac:dyDescent="0.25">
      <c r="A8" s="23"/>
      <c r="B8" s="23"/>
      <c r="C8" s="23"/>
      <c r="D8" s="23"/>
      <c r="E8" s="23"/>
      <c r="F8" s="23"/>
      <c r="G8" s="23"/>
      <c r="H8" s="23"/>
      <c r="I8" s="23"/>
      <c r="J8" s="23"/>
      <c r="K8" s="23"/>
      <c r="L8" s="23"/>
      <c r="M8" s="23"/>
      <c r="N8" s="23"/>
      <c r="O8" s="23"/>
      <c r="P8" s="23"/>
      <c r="Q8" s="23"/>
      <c r="R8" s="23"/>
      <c r="S8" s="23"/>
      <c r="T8" s="23"/>
      <c r="U8" s="235"/>
      <c r="V8" s="235"/>
    </row>
    <row r="9" spans="1:31" ht="15.75" customHeight="1" x14ac:dyDescent="0.35">
      <c r="A9" s="23"/>
      <c r="B9" s="23"/>
      <c r="C9" s="23"/>
      <c r="D9" s="23"/>
      <c r="E9" s="23"/>
      <c r="F9" s="24"/>
      <c r="G9" s="25"/>
      <c r="H9" s="423" t="s">
        <v>25</v>
      </c>
      <c r="I9" s="424"/>
      <c r="J9" s="423" t="s">
        <v>26</v>
      </c>
      <c r="K9" s="424"/>
      <c r="L9" s="423" t="s">
        <v>27</v>
      </c>
      <c r="M9" s="424"/>
      <c r="N9" s="423" t="s">
        <v>28</v>
      </c>
      <c r="O9" s="424"/>
      <c r="P9" s="423" t="s">
        <v>29</v>
      </c>
      <c r="Q9" s="424"/>
      <c r="R9" s="418" t="s">
        <v>30</v>
      </c>
      <c r="S9" s="418" t="s">
        <v>31</v>
      </c>
      <c r="T9" s="418" t="s">
        <v>32</v>
      </c>
    </row>
    <row r="10" spans="1:31" ht="15.75" customHeight="1" x14ac:dyDescent="0.35">
      <c r="A10" s="23"/>
      <c r="B10" s="23"/>
      <c r="C10" s="23"/>
      <c r="D10" s="23"/>
      <c r="E10" s="23"/>
      <c r="F10" s="24"/>
      <c r="G10" s="25"/>
      <c r="H10" s="180" t="s">
        <v>33</v>
      </c>
      <c r="I10" s="181" t="s">
        <v>34</v>
      </c>
      <c r="J10" s="180" t="s">
        <v>33</v>
      </c>
      <c r="K10" s="180" t="s">
        <v>34</v>
      </c>
      <c r="L10" s="180" t="s">
        <v>33</v>
      </c>
      <c r="M10" s="180" t="s">
        <v>34</v>
      </c>
      <c r="N10" s="180" t="s">
        <v>35</v>
      </c>
      <c r="O10" s="180" t="s">
        <v>34</v>
      </c>
      <c r="P10" s="180" t="s">
        <v>33</v>
      </c>
      <c r="Q10" s="180" t="s">
        <v>34</v>
      </c>
      <c r="R10" s="419"/>
      <c r="S10" s="419"/>
      <c r="T10" s="419"/>
    </row>
    <row r="11" spans="1:31" ht="15.75" customHeight="1" x14ac:dyDescent="0.35">
      <c r="A11" s="23"/>
      <c r="B11" s="23"/>
      <c r="C11" s="23"/>
      <c r="D11" s="23"/>
      <c r="E11" s="23"/>
      <c r="F11" s="24"/>
      <c r="G11" s="25"/>
      <c r="H11" s="169">
        <f>DATE(YEAR(G3),MONTH(G3),DAY(G3))</f>
        <v>45778</v>
      </c>
      <c r="I11" s="169">
        <f>J11-1</f>
        <v>46142</v>
      </c>
      <c r="J11" s="169">
        <f>DATE(YEAR(G3)+1,MONTH(G3),DAY(G3))</f>
        <v>46143</v>
      </c>
      <c r="K11" s="169">
        <f>L11-1</f>
        <v>46507</v>
      </c>
      <c r="L11" s="169">
        <f>DATE(YEAR(G3)+2,MONTH(G3),DAY(G3))</f>
        <v>46508</v>
      </c>
      <c r="M11" s="169">
        <f>N11-1</f>
        <v>46873</v>
      </c>
      <c r="N11" s="190">
        <f>DATE(YEAR(G3)+3,MONTH(G3),DAY(G3))</f>
        <v>46874</v>
      </c>
      <c r="O11" s="169">
        <f>P11-1</f>
        <v>47238</v>
      </c>
      <c r="P11" s="169">
        <f>DATE(YEAR(G3)+4,MONTH(G3),DAY(G3))</f>
        <v>47239</v>
      </c>
      <c r="Q11" s="169">
        <f>P11+364</f>
        <v>47603</v>
      </c>
      <c r="R11" s="419"/>
      <c r="S11" s="419"/>
      <c r="T11" s="419"/>
      <c r="W11" s="262" t="s">
        <v>284</v>
      </c>
      <c r="X11" s="262" t="s">
        <v>285</v>
      </c>
      <c r="Y11" s="262"/>
      <c r="Z11" s="262" t="s">
        <v>286</v>
      </c>
      <c r="AA11" s="262" t="s">
        <v>287</v>
      </c>
      <c r="AB11" s="262" t="s">
        <v>67</v>
      </c>
      <c r="AC11" s="262" t="s">
        <v>289</v>
      </c>
    </row>
    <row r="12" spans="1:31" ht="24" x14ac:dyDescent="0.35">
      <c r="A12" s="23"/>
      <c r="B12" s="23"/>
      <c r="C12" s="23"/>
      <c r="D12" s="23"/>
      <c r="E12" s="23"/>
      <c r="F12" s="26"/>
      <c r="G12" s="26"/>
      <c r="H12" s="81" t="s">
        <v>36</v>
      </c>
      <c r="I12" s="27" t="s">
        <v>37</v>
      </c>
      <c r="J12" s="81" t="s">
        <v>36</v>
      </c>
      <c r="K12" s="27" t="s">
        <v>37</v>
      </c>
      <c r="L12" s="81" t="s">
        <v>36</v>
      </c>
      <c r="M12" s="27" t="s">
        <v>37</v>
      </c>
      <c r="N12" s="81" t="s">
        <v>36</v>
      </c>
      <c r="O12" s="27" t="s">
        <v>37</v>
      </c>
      <c r="P12" s="81" t="s">
        <v>36</v>
      </c>
      <c r="Q12" s="27" t="s">
        <v>37</v>
      </c>
      <c r="R12" s="420"/>
      <c r="S12" s="420"/>
      <c r="T12" s="420"/>
    </row>
    <row r="13" spans="1:31" ht="15.5" x14ac:dyDescent="0.35">
      <c r="A13" s="23"/>
      <c r="B13" s="23"/>
      <c r="C13" s="23"/>
      <c r="D13" s="28" t="s">
        <v>38</v>
      </c>
      <c r="E13" s="29" t="s">
        <v>39</v>
      </c>
      <c r="F13" s="29" t="s">
        <v>40</v>
      </c>
      <c r="G13" s="28" t="s">
        <v>41</v>
      </c>
      <c r="H13" s="168"/>
      <c r="I13" s="211"/>
      <c r="J13" s="212"/>
      <c r="K13" s="212"/>
      <c r="L13" s="212"/>
      <c r="M13" s="212"/>
      <c r="N13" s="212"/>
      <c r="O13" s="212"/>
      <c r="P13" s="212"/>
      <c r="Q13" s="212"/>
      <c r="R13" s="11"/>
      <c r="S13" s="215"/>
      <c r="T13" s="11"/>
    </row>
    <row r="14" spans="1:31" ht="15.5" x14ac:dyDescent="0.35">
      <c r="A14" s="44" t="s">
        <v>42</v>
      </c>
      <c r="B14" s="25"/>
      <c r="C14" s="43" t="s">
        <v>43</v>
      </c>
      <c r="D14" s="28" t="s">
        <v>44</v>
      </c>
      <c r="E14" s="28" t="s">
        <v>45</v>
      </c>
      <c r="F14" s="28" t="s">
        <v>45</v>
      </c>
      <c r="G14" s="28" t="s">
        <v>45</v>
      </c>
      <c r="H14" s="30">
        <f t="shared" ref="H14:Q14" si="0">SUM(H15:H23)</f>
        <v>3121.493375</v>
      </c>
      <c r="I14" s="31">
        <f t="shared" si="0"/>
        <v>0</v>
      </c>
      <c r="J14" s="30">
        <f t="shared" si="0"/>
        <v>3215</v>
      </c>
      <c r="K14" s="31">
        <f t="shared" si="0"/>
        <v>0</v>
      </c>
      <c r="L14" s="30">
        <f t="shared" si="0"/>
        <v>0</v>
      </c>
      <c r="M14" s="31">
        <f t="shared" si="0"/>
        <v>0</v>
      </c>
      <c r="N14" s="30">
        <f t="shared" si="0"/>
        <v>0</v>
      </c>
      <c r="O14" s="32">
        <f t="shared" si="0"/>
        <v>0</v>
      </c>
      <c r="P14" s="33">
        <f t="shared" si="0"/>
        <v>0</v>
      </c>
      <c r="Q14" s="32">
        <f t="shared" si="0"/>
        <v>0</v>
      </c>
      <c r="R14" s="12">
        <f>SUM(H14+J14+L14+N14+P14)</f>
        <v>6336.493375</v>
      </c>
      <c r="S14" s="13">
        <f>SUM(I14+K14+M14+O14+Q14)</f>
        <v>0</v>
      </c>
      <c r="T14" s="12">
        <f>SUM(R14+S14)</f>
        <v>6336.493375</v>
      </c>
      <c r="W14">
        <v>0.5</v>
      </c>
      <c r="X14">
        <v>0.5</v>
      </c>
      <c r="Y14">
        <v>0</v>
      </c>
      <c r="Z14">
        <v>0.8</v>
      </c>
      <c r="AA14">
        <f>Z14</f>
        <v>0.8</v>
      </c>
      <c r="AB14">
        <v>0</v>
      </c>
      <c r="AC14">
        <v>0.9</v>
      </c>
      <c r="AD14" s="414">
        <f>W14*W$25+X14*X$25+Z14*Z$25+AA14*AA$25+AB14*AB$25+AC14*AC$25</f>
        <v>75179.982662622002</v>
      </c>
      <c r="AE14" s="413" t="s">
        <v>280</v>
      </c>
    </row>
    <row r="15" spans="1:31" ht="15.5" x14ac:dyDescent="0.35">
      <c r="A15" s="44"/>
      <c r="B15" s="23">
        <v>1</v>
      </c>
      <c r="C15" s="82" t="s">
        <v>13</v>
      </c>
      <c r="D15" s="61">
        <v>11488.75</v>
      </c>
      <c r="E15" s="77">
        <v>0.2717</v>
      </c>
      <c r="F15" s="77">
        <v>0</v>
      </c>
      <c r="G15" s="77">
        <v>0</v>
      </c>
      <c r="H15" s="78">
        <f t="shared" ref="H15:H23" si="1">D15*(E15+F15+G15)</f>
        <v>3121.493375</v>
      </c>
      <c r="I15" s="21">
        <v>0</v>
      </c>
      <c r="J15" s="78">
        <f t="shared" ref="J15:J23" si="2">ROUND(H15*1.03,0)</f>
        <v>3215</v>
      </c>
      <c r="K15" s="21">
        <v>0</v>
      </c>
      <c r="L15" s="78">
        <v>0</v>
      </c>
      <c r="M15" s="21">
        <v>0</v>
      </c>
      <c r="N15" s="78">
        <v>0</v>
      </c>
      <c r="O15" s="21">
        <v>0</v>
      </c>
      <c r="P15" s="79">
        <f>ROUND(N15*1.03,0)</f>
        <v>0</v>
      </c>
      <c r="Q15" s="21">
        <v>0</v>
      </c>
      <c r="R15" s="80">
        <f>SUM(H15+J15+L15+N15+P15)</f>
        <v>6336.493375</v>
      </c>
      <c r="S15" s="14">
        <f t="shared" ref="S15:S23" si="3">SUM(I15+K15+M15+O15+Q15)</f>
        <v>0</v>
      </c>
      <c r="T15" s="80">
        <f>SUM(R15+S15)</f>
        <v>6336.493375</v>
      </c>
      <c r="U15" s="2"/>
      <c r="W15">
        <v>0.2</v>
      </c>
      <c r="X15">
        <v>0.2</v>
      </c>
      <c r="Y15">
        <v>0</v>
      </c>
      <c r="Z15">
        <v>0</v>
      </c>
      <c r="AA15">
        <f>Z15</f>
        <v>0</v>
      </c>
      <c r="AB15">
        <v>0</v>
      </c>
      <c r="AC15">
        <v>0.1</v>
      </c>
      <c r="AD15" s="414">
        <f t="shared" ref="AD15:AD18" si="4">W15*W$25+X15*X$25+Z15*Z$25+AA15*AA$25+AB15*AB$25+AC15*AC$25</f>
        <v>9451.4839450487998</v>
      </c>
      <c r="AE15" s="410" t="s">
        <v>281</v>
      </c>
    </row>
    <row r="16" spans="1:31" ht="15.5" x14ac:dyDescent="0.35">
      <c r="A16" s="44"/>
      <c r="B16" s="23">
        <v>2</v>
      </c>
      <c r="C16" s="87"/>
      <c r="D16" s="61">
        <v>0</v>
      </c>
      <c r="E16" s="77">
        <v>0</v>
      </c>
      <c r="F16" s="77">
        <v>0</v>
      </c>
      <c r="G16" s="77">
        <v>0</v>
      </c>
      <c r="H16" s="78">
        <f t="shared" si="1"/>
        <v>0</v>
      </c>
      <c r="I16" s="21">
        <v>0</v>
      </c>
      <c r="J16" s="78">
        <f t="shared" si="2"/>
        <v>0</v>
      </c>
      <c r="K16" s="21">
        <v>0</v>
      </c>
      <c r="L16" s="78">
        <f t="shared" ref="L16:L23" si="5">ROUND(J16*1.03*1/6,0)</f>
        <v>0</v>
      </c>
      <c r="M16" s="21">
        <v>0</v>
      </c>
      <c r="N16" s="78">
        <f t="shared" ref="N16:N23" si="6">ROUND(L16*1.03,0)</f>
        <v>0</v>
      </c>
      <c r="O16" s="21">
        <v>0</v>
      </c>
      <c r="P16" s="79">
        <f t="shared" ref="P16:P23" si="7">ROUND(N16*1.03,0)</f>
        <v>0</v>
      </c>
      <c r="Q16" s="21">
        <v>0</v>
      </c>
      <c r="R16" s="80">
        <f t="shared" ref="R16:R23" si="8">SUM(H16+J16+L16+N16+P16)</f>
        <v>0</v>
      </c>
      <c r="S16" s="14">
        <f t="shared" si="3"/>
        <v>0</v>
      </c>
      <c r="T16" s="80">
        <f t="shared" ref="T16:T23" si="9">SUM(R16+S16)</f>
        <v>0</v>
      </c>
      <c r="V16" s="10"/>
      <c r="W16">
        <v>0.2</v>
      </c>
      <c r="X16">
        <v>0.1</v>
      </c>
      <c r="Y16">
        <v>0.5</v>
      </c>
      <c r="Z16">
        <v>0</v>
      </c>
      <c r="AA16">
        <f>Z16</f>
        <v>0</v>
      </c>
      <c r="AB16">
        <v>0.3</v>
      </c>
      <c r="AC16">
        <v>0</v>
      </c>
      <c r="AD16" s="414">
        <f t="shared" si="4"/>
        <v>9019.5788588994001</v>
      </c>
      <c r="AE16" s="412" t="s">
        <v>282</v>
      </c>
    </row>
    <row r="17" spans="1:31" ht="15.5" x14ac:dyDescent="0.35">
      <c r="A17" s="44"/>
      <c r="B17" s="23">
        <v>3</v>
      </c>
      <c r="C17" s="82"/>
      <c r="D17" s="61">
        <v>0</v>
      </c>
      <c r="E17" s="77">
        <v>0</v>
      </c>
      <c r="F17" s="77">
        <v>0</v>
      </c>
      <c r="G17" s="77">
        <v>0</v>
      </c>
      <c r="H17" s="78">
        <f t="shared" si="1"/>
        <v>0</v>
      </c>
      <c r="I17" s="21">
        <v>0</v>
      </c>
      <c r="J17" s="78">
        <f t="shared" si="2"/>
        <v>0</v>
      </c>
      <c r="K17" s="21">
        <v>0</v>
      </c>
      <c r="L17" s="78">
        <f t="shared" si="5"/>
        <v>0</v>
      </c>
      <c r="M17" s="21">
        <v>0</v>
      </c>
      <c r="N17" s="78">
        <f t="shared" si="6"/>
        <v>0</v>
      </c>
      <c r="O17" s="21">
        <v>0</v>
      </c>
      <c r="P17" s="79">
        <f t="shared" si="7"/>
        <v>0</v>
      </c>
      <c r="Q17" s="21">
        <v>0</v>
      </c>
      <c r="R17" s="80">
        <f t="shared" si="8"/>
        <v>0</v>
      </c>
      <c r="S17" s="14">
        <f t="shared" si="3"/>
        <v>0</v>
      </c>
      <c r="T17" s="80">
        <f t="shared" si="9"/>
        <v>0</v>
      </c>
      <c r="W17">
        <v>0.1</v>
      </c>
      <c r="X17">
        <v>0.1</v>
      </c>
      <c r="Y17">
        <v>0.5</v>
      </c>
      <c r="Z17">
        <v>0.1</v>
      </c>
      <c r="AA17">
        <f>Z17</f>
        <v>0.1</v>
      </c>
      <c r="AB17">
        <v>0.7</v>
      </c>
      <c r="AC17">
        <v>0</v>
      </c>
      <c r="AD17" s="414">
        <f t="shared" si="4"/>
        <v>17869.0773725244</v>
      </c>
      <c r="AE17" s="411" t="s">
        <v>283</v>
      </c>
    </row>
    <row r="18" spans="1:31" ht="15.5" x14ac:dyDescent="0.35">
      <c r="A18" s="44"/>
      <c r="B18" s="23">
        <v>4</v>
      </c>
      <c r="C18" s="82"/>
      <c r="D18" s="61">
        <v>0</v>
      </c>
      <c r="E18" s="77">
        <v>0</v>
      </c>
      <c r="F18" s="77">
        <v>0</v>
      </c>
      <c r="G18" s="77">
        <v>0</v>
      </c>
      <c r="H18" s="78">
        <f t="shared" si="1"/>
        <v>0</v>
      </c>
      <c r="I18" s="21">
        <v>0</v>
      </c>
      <c r="J18" s="78">
        <f t="shared" si="2"/>
        <v>0</v>
      </c>
      <c r="K18" s="21">
        <v>0</v>
      </c>
      <c r="L18" s="78">
        <f t="shared" si="5"/>
        <v>0</v>
      </c>
      <c r="M18" s="21">
        <v>0</v>
      </c>
      <c r="N18" s="78">
        <f t="shared" si="6"/>
        <v>0</v>
      </c>
      <c r="O18" s="21">
        <v>0</v>
      </c>
      <c r="P18" s="79">
        <f t="shared" si="7"/>
        <v>0</v>
      </c>
      <c r="Q18" s="21">
        <v>0</v>
      </c>
      <c r="R18" s="80">
        <f t="shared" si="8"/>
        <v>0</v>
      </c>
      <c r="S18" s="14">
        <f t="shared" si="3"/>
        <v>0</v>
      </c>
      <c r="T18" s="80">
        <f t="shared" si="9"/>
        <v>0</v>
      </c>
      <c r="U18" s="10"/>
      <c r="W18">
        <v>0</v>
      </c>
      <c r="X18">
        <v>0.1</v>
      </c>
      <c r="Y18">
        <v>0</v>
      </c>
      <c r="Z18">
        <v>0.1</v>
      </c>
      <c r="AA18">
        <f>Z18</f>
        <v>0.1</v>
      </c>
      <c r="AB18">
        <v>0</v>
      </c>
      <c r="AC18">
        <v>0</v>
      </c>
      <c r="AD18" s="414">
        <f t="shared" si="4"/>
        <v>8477.4028861494007</v>
      </c>
      <c r="AE18" s="410" t="s">
        <v>290</v>
      </c>
    </row>
    <row r="19" spans="1:31" ht="15.5" x14ac:dyDescent="0.35">
      <c r="A19" s="44"/>
      <c r="B19" s="23">
        <v>5</v>
      </c>
      <c r="C19" s="82"/>
      <c r="D19" s="61">
        <v>0</v>
      </c>
      <c r="E19" s="77">
        <v>0</v>
      </c>
      <c r="F19" s="77">
        <v>0</v>
      </c>
      <c r="G19" s="77">
        <v>0</v>
      </c>
      <c r="H19" s="78">
        <f t="shared" si="1"/>
        <v>0</v>
      </c>
      <c r="I19" s="21">
        <v>0</v>
      </c>
      <c r="J19" s="78">
        <f t="shared" si="2"/>
        <v>0</v>
      </c>
      <c r="K19" s="21">
        <v>0</v>
      </c>
      <c r="L19" s="78">
        <f t="shared" si="5"/>
        <v>0</v>
      </c>
      <c r="M19" s="21">
        <v>0</v>
      </c>
      <c r="N19" s="78">
        <f t="shared" si="6"/>
        <v>0</v>
      </c>
      <c r="O19" s="21">
        <v>0</v>
      </c>
      <c r="P19" s="79">
        <f t="shared" si="7"/>
        <v>0</v>
      </c>
      <c r="Q19" s="21">
        <v>0</v>
      </c>
      <c r="R19" s="80">
        <f t="shared" si="8"/>
        <v>0</v>
      </c>
      <c r="S19" s="14">
        <f t="shared" si="3"/>
        <v>0</v>
      </c>
      <c r="T19" s="80">
        <f t="shared" si="9"/>
        <v>0</v>
      </c>
      <c r="V19" s="2" t="s">
        <v>288</v>
      </c>
      <c r="W19">
        <f t="shared" ref="W19:AD19" si="10">SUM(W14:W18)</f>
        <v>0.99999999999999989</v>
      </c>
      <c r="X19">
        <f t="shared" si="10"/>
        <v>0.99999999999999989</v>
      </c>
      <c r="Y19">
        <f t="shared" si="10"/>
        <v>1</v>
      </c>
      <c r="Z19">
        <f t="shared" si="10"/>
        <v>1</v>
      </c>
      <c r="AA19">
        <f t="shared" si="10"/>
        <v>1</v>
      </c>
      <c r="AB19">
        <f t="shared" si="10"/>
        <v>1</v>
      </c>
      <c r="AC19">
        <f t="shared" si="10"/>
        <v>1</v>
      </c>
      <c r="AD19" s="415">
        <f t="shared" si="10"/>
        <v>119997.52572524401</v>
      </c>
    </row>
    <row r="20" spans="1:31" ht="15.5" x14ac:dyDescent="0.35">
      <c r="A20" s="44"/>
      <c r="B20" s="23">
        <v>6</v>
      </c>
      <c r="C20" s="82"/>
      <c r="D20" s="61">
        <v>0</v>
      </c>
      <c r="E20" s="77">
        <v>0</v>
      </c>
      <c r="F20" s="77">
        <v>0</v>
      </c>
      <c r="G20" s="77">
        <v>0</v>
      </c>
      <c r="H20" s="78">
        <f t="shared" si="1"/>
        <v>0</v>
      </c>
      <c r="I20" s="21">
        <v>0</v>
      </c>
      <c r="J20" s="78">
        <f t="shared" si="2"/>
        <v>0</v>
      </c>
      <c r="K20" s="21">
        <v>0</v>
      </c>
      <c r="L20" s="78">
        <f t="shared" si="5"/>
        <v>0</v>
      </c>
      <c r="M20" s="21">
        <v>0</v>
      </c>
      <c r="N20" s="78">
        <f t="shared" si="6"/>
        <v>0</v>
      </c>
      <c r="O20" s="21">
        <v>0</v>
      </c>
      <c r="P20" s="79">
        <f t="shared" si="7"/>
        <v>0</v>
      </c>
      <c r="Q20" s="21">
        <v>0</v>
      </c>
      <c r="R20" s="80">
        <f t="shared" si="8"/>
        <v>0</v>
      </c>
      <c r="S20" s="14">
        <f t="shared" si="3"/>
        <v>0</v>
      </c>
      <c r="T20" s="80">
        <f t="shared" si="9"/>
        <v>0</v>
      </c>
    </row>
    <row r="21" spans="1:31" ht="15.5" x14ac:dyDescent="0.35">
      <c r="A21" s="44"/>
      <c r="B21" s="23">
        <v>7</v>
      </c>
      <c r="C21" s="82"/>
      <c r="D21" s="61">
        <v>0</v>
      </c>
      <c r="E21" s="77">
        <v>0</v>
      </c>
      <c r="F21" s="77">
        <v>0</v>
      </c>
      <c r="G21" s="77">
        <v>0</v>
      </c>
      <c r="H21" s="78">
        <f t="shared" si="1"/>
        <v>0</v>
      </c>
      <c r="I21" s="21">
        <v>0</v>
      </c>
      <c r="J21" s="78">
        <f t="shared" si="2"/>
        <v>0</v>
      </c>
      <c r="K21" s="21">
        <v>0</v>
      </c>
      <c r="L21" s="78">
        <f t="shared" si="5"/>
        <v>0</v>
      </c>
      <c r="M21" s="21">
        <v>0</v>
      </c>
      <c r="N21" s="78">
        <f t="shared" si="6"/>
        <v>0</v>
      </c>
      <c r="O21" s="21">
        <v>0</v>
      </c>
      <c r="P21" s="79">
        <f t="shared" si="7"/>
        <v>0</v>
      </c>
      <c r="Q21" s="21">
        <v>0</v>
      </c>
      <c r="R21" s="80">
        <f t="shared" si="8"/>
        <v>0</v>
      </c>
      <c r="S21" s="14">
        <f t="shared" si="3"/>
        <v>0</v>
      </c>
      <c r="T21" s="80">
        <f t="shared" si="9"/>
        <v>0</v>
      </c>
      <c r="V21" s="2"/>
    </row>
    <row r="22" spans="1:31" ht="15.5" x14ac:dyDescent="0.35">
      <c r="A22" s="44"/>
      <c r="B22" s="23">
        <v>8</v>
      </c>
      <c r="C22" s="82"/>
      <c r="D22" s="61">
        <v>0</v>
      </c>
      <c r="E22" s="77">
        <v>0</v>
      </c>
      <c r="F22" s="77">
        <v>0</v>
      </c>
      <c r="G22" s="77">
        <v>0</v>
      </c>
      <c r="H22" s="78">
        <f t="shared" si="1"/>
        <v>0</v>
      </c>
      <c r="I22" s="21">
        <v>0</v>
      </c>
      <c r="J22" s="78">
        <f t="shared" si="2"/>
        <v>0</v>
      </c>
      <c r="K22" s="21">
        <v>0</v>
      </c>
      <c r="L22" s="78">
        <f t="shared" si="5"/>
        <v>0</v>
      </c>
      <c r="M22" s="21">
        <v>0</v>
      </c>
      <c r="N22" s="78">
        <f t="shared" si="6"/>
        <v>0</v>
      </c>
      <c r="O22" s="21">
        <v>0</v>
      </c>
      <c r="P22" s="79">
        <f t="shared" si="7"/>
        <v>0</v>
      </c>
      <c r="Q22" s="21">
        <v>0</v>
      </c>
      <c r="R22" s="80">
        <f t="shared" si="8"/>
        <v>0</v>
      </c>
      <c r="S22" s="14">
        <f t="shared" si="3"/>
        <v>0</v>
      </c>
      <c r="T22" s="80">
        <f t="shared" si="9"/>
        <v>0</v>
      </c>
    </row>
    <row r="23" spans="1:31" x14ac:dyDescent="0.25">
      <c r="A23" s="23"/>
      <c r="B23" s="23">
        <v>9</v>
      </c>
      <c r="C23" s="82"/>
      <c r="D23" s="61">
        <v>0</v>
      </c>
      <c r="E23" s="77">
        <v>0</v>
      </c>
      <c r="F23" s="77">
        <v>0</v>
      </c>
      <c r="G23" s="77">
        <v>0</v>
      </c>
      <c r="H23" s="78">
        <f t="shared" si="1"/>
        <v>0</v>
      </c>
      <c r="I23" s="21">
        <v>0</v>
      </c>
      <c r="J23" s="78">
        <f t="shared" si="2"/>
        <v>0</v>
      </c>
      <c r="K23" s="21">
        <v>0</v>
      </c>
      <c r="L23" s="78">
        <f t="shared" si="5"/>
        <v>0</v>
      </c>
      <c r="M23" s="21">
        <v>0</v>
      </c>
      <c r="N23" s="78">
        <f t="shared" si="6"/>
        <v>0</v>
      </c>
      <c r="O23" s="21">
        <v>0</v>
      </c>
      <c r="P23" s="79">
        <f t="shared" si="7"/>
        <v>0</v>
      </c>
      <c r="Q23" s="21">
        <v>0</v>
      </c>
      <c r="R23" s="80">
        <f t="shared" si="8"/>
        <v>0</v>
      </c>
      <c r="S23" s="14">
        <f t="shared" si="3"/>
        <v>0</v>
      </c>
      <c r="T23" s="80">
        <f t="shared" si="9"/>
        <v>0</v>
      </c>
    </row>
    <row r="24" spans="1:31" ht="15.5" x14ac:dyDescent="0.35">
      <c r="A24" s="36"/>
      <c r="B24" s="36"/>
      <c r="C24" s="36"/>
      <c r="D24" s="37"/>
      <c r="E24" s="37" t="s">
        <v>39</v>
      </c>
      <c r="F24" s="54"/>
      <c r="G24" s="37" t="s">
        <v>46</v>
      </c>
      <c r="H24" s="38"/>
      <c r="I24" s="38"/>
      <c r="J24" s="38"/>
      <c r="K24" s="38"/>
      <c r="L24" s="38"/>
      <c r="M24" s="38"/>
      <c r="N24" s="38"/>
      <c r="O24" s="38"/>
      <c r="P24" s="38"/>
      <c r="Q24" s="38"/>
      <c r="R24" s="18"/>
      <c r="S24" s="18"/>
      <c r="T24" s="18"/>
      <c r="U24" s="2"/>
    </row>
    <row r="25" spans="1:31" ht="15.5" x14ac:dyDescent="0.35">
      <c r="A25" s="44" t="s">
        <v>47</v>
      </c>
      <c r="B25" s="25"/>
      <c r="C25" s="43" t="s">
        <v>48</v>
      </c>
      <c r="D25" s="28" t="s">
        <v>44</v>
      </c>
      <c r="E25" s="28" t="s">
        <v>45</v>
      </c>
      <c r="F25" s="35"/>
      <c r="G25" s="28" t="s">
        <v>49</v>
      </c>
      <c r="H25" s="30">
        <f t="shared" ref="H25:Q25" si="11">SUM(H26:H37)</f>
        <v>17815.509059799999</v>
      </c>
      <c r="I25" s="31">
        <f t="shared" si="11"/>
        <v>0</v>
      </c>
      <c r="J25" s="30">
        <f t="shared" si="11"/>
        <v>18350</v>
      </c>
      <c r="K25" s="31">
        <f t="shared" si="11"/>
        <v>0</v>
      </c>
      <c r="L25" s="30">
        <f t="shared" si="11"/>
        <v>0</v>
      </c>
      <c r="M25" s="31">
        <f t="shared" si="11"/>
        <v>0</v>
      </c>
      <c r="N25" s="30">
        <f t="shared" si="11"/>
        <v>0</v>
      </c>
      <c r="O25" s="31">
        <f t="shared" si="11"/>
        <v>0</v>
      </c>
      <c r="P25" s="33">
        <f t="shared" si="11"/>
        <v>0</v>
      </c>
      <c r="Q25" s="31">
        <f t="shared" si="11"/>
        <v>0</v>
      </c>
      <c r="R25" s="12">
        <f>SUM(H25+J25+L25+N25+P25)</f>
        <v>36165.509059799995</v>
      </c>
      <c r="S25" s="13">
        <f>SUM(I25+K25+M25+O25+Q25)</f>
        <v>0</v>
      </c>
      <c r="T25" s="12">
        <f>SUM(R25+S25)</f>
        <v>36165.509059799995</v>
      </c>
      <c r="U25" s="2"/>
      <c r="W25" s="414">
        <f>(T15+T42)*(1+D106)</f>
        <v>13591.74486375</v>
      </c>
      <c r="X25" s="414">
        <f>(T32+T57)*(1+D106)</f>
        <v>28587.298861494</v>
      </c>
      <c r="Z25" s="414">
        <f>(T28+T53)*(1+D106)</f>
        <v>40148.730000000003</v>
      </c>
      <c r="AA25" s="414">
        <f>SUM(T91:T95)</f>
        <v>16038</v>
      </c>
      <c r="AB25" s="414">
        <f>T70*(1+D106)</f>
        <v>11475</v>
      </c>
      <c r="AC25" s="414">
        <f>(T80-AA25)*(1+D106)</f>
        <v>10156.752000000002</v>
      </c>
    </row>
    <row r="26" spans="1:31" ht="15.5" x14ac:dyDescent="0.35">
      <c r="A26" s="44"/>
      <c r="B26" s="23">
        <v>1</v>
      </c>
      <c r="C26" s="82" t="s">
        <v>50</v>
      </c>
      <c r="D26" s="61">
        <v>0</v>
      </c>
      <c r="E26" s="77">
        <v>0</v>
      </c>
      <c r="F26" s="82"/>
      <c r="G26" s="77">
        <v>0</v>
      </c>
      <c r="H26" s="78">
        <f t="shared" ref="H26:H37" si="12">D26*(E26)*G26</f>
        <v>0</v>
      </c>
      <c r="I26" s="21">
        <v>0</v>
      </c>
      <c r="J26" s="78">
        <f>ROUND(H26*1.03,0)</f>
        <v>0</v>
      </c>
      <c r="K26" s="21">
        <v>0</v>
      </c>
      <c r="L26" s="78">
        <f t="shared" ref="L26:L37" si="13">ROUND(J26*1.03*1/6,0)</f>
        <v>0</v>
      </c>
      <c r="M26" s="21">
        <v>0</v>
      </c>
      <c r="N26" s="78">
        <f>ROUND(L26*1.03,0)</f>
        <v>0</v>
      </c>
      <c r="O26" s="21">
        <v>0</v>
      </c>
      <c r="P26" s="79">
        <f>ROUND(N26*1.03,0)</f>
        <v>0</v>
      </c>
      <c r="Q26" s="21">
        <v>0</v>
      </c>
      <c r="R26" s="80">
        <f t="shared" ref="R26:S37" si="14">SUM(H26+J26+L26+N26+P26)</f>
        <v>0</v>
      </c>
      <c r="S26" s="14">
        <f t="shared" si="14"/>
        <v>0</v>
      </c>
      <c r="T26" s="80">
        <f t="shared" ref="T26:T37" si="15">SUM(R26+S26)</f>
        <v>0</v>
      </c>
    </row>
    <row r="27" spans="1:31" ht="15.5" x14ac:dyDescent="0.35">
      <c r="A27" s="44"/>
      <c r="B27" s="23">
        <v>2</v>
      </c>
      <c r="C27" s="82" t="s">
        <v>50</v>
      </c>
      <c r="D27" s="61">
        <v>0</v>
      </c>
      <c r="E27" s="77">
        <v>0</v>
      </c>
      <c r="F27" s="82"/>
      <c r="G27" s="77">
        <v>0</v>
      </c>
      <c r="H27" s="78">
        <f t="shared" si="12"/>
        <v>0</v>
      </c>
      <c r="I27" s="21">
        <v>0</v>
      </c>
      <c r="J27" s="78">
        <f t="shared" ref="J27:J37" si="16">ROUND(H27*1.03,0)</f>
        <v>0</v>
      </c>
      <c r="K27" s="21">
        <v>0</v>
      </c>
      <c r="L27" s="78">
        <f t="shared" si="13"/>
        <v>0</v>
      </c>
      <c r="M27" s="21">
        <v>0</v>
      </c>
      <c r="N27" s="78">
        <f t="shared" ref="N27:N37" si="17">ROUND(L27*1.03,0)</f>
        <v>0</v>
      </c>
      <c r="O27" s="21">
        <v>0</v>
      </c>
      <c r="P27" s="79">
        <f t="shared" ref="P27:P37" si="18">ROUND(N27*1.03,0)</f>
        <v>0</v>
      </c>
      <c r="Q27" s="21">
        <v>0</v>
      </c>
      <c r="R27" s="80">
        <f t="shared" si="14"/>
        <v>0</v>
      </c>
      <c r="S27" s="14">
        <f t="shared" si="14"/>
        <v>0</v>
      </c>
      <c r="T27" s="80">
        <f t="shared" si="15"/>
        <v>0</v>
      </c>
    </row>
    <row r="28" spans="1:31" ht="15.5" x14ac:dyDescent="0.35">
      <c r="A28" s="44"/>
      <c r="B28" s="23">
        <v>3</v>
      </c>
      <c r="C28" s="82" t="s">
        <v>51</v>
      </c>
      <c r="D28" s="61">
        <v>2500</v>
      </c>
      <c r="E28" s="77">
        <v>4.5</v>
      </c>
      <c r="F28" s="82"/>
      <c r="G28" s="77">
        <v>1</v>
      </c>
      <c r="H28" s="78">
        <f t="shared" si="12"/>
        <v>11250</v>
      </c>
      <c r="I28" s="21">
        <v>0</v>
      </c>
      <c r="J28" s="78">
        <f t="shared" si="16"/>
        <v>11588</v>
      </c>
      <c r="K28" s="21">
        <v>0</v>
      </c>
      <c r="L28" s="78">
        <v>0</v>
      </c>
      <c r="M28" s="21">
        <v>0</v>
      </c>
      <c r="N28" s="78">
        <v>0</v>
      </c>
      <c r="O28" s="21">
        <v>0</v>
      </c>
      <c r="P28" s="79">
        <f t="shared" si="18"/>
        <v>0</v>
      </c>
      <c r="Q28" s="21">
        <v>0</v>
      </c>
      <c r="R28" s="80">
        <f t="shared" si="14"/>
        <v>22838</v>
      </c>
      <c r="S28" s="14">
        <f t="shared" si="14"/>
        <v>0</v>
      </c>
      <c r="T28" s="80">
        <f t="shared" si="15"/>
        <v>22838</v>
      </c>
    </row>
    <row r="29" spans="1:31" ht="15.5" x14ac:dyDescent="0.35">
      <c r="A29" s="44"/>
      <c r="B29" s="23">
        <v>4</v>
      </c>
      <c r="C29" s="82" t="s">
        <v>51</v>
      </c>
      <c r="D29" s="61">
        <v>0</v>
      </c>
      <c r="E29" s="77">
        <v>0</v>
      </c>
      <c r="F29" s="82"/>
      <c r="G29" s="77">
        <v>0</v>
      </c>
      <c r="H29" s="78">
        <f t="shared" si="12"/>
        <v>0</v>
      </c>
      <c r="I29" s="21">
        <v>0</v>
      </c>
      <c r="J29" s="78">
        <f t="shared" si="16"/>
        <v>0</v>
      </c>
      <c r="K29" s="21">
        <v>0</v>
      </c>
      <c r="L29" s="78">
        <f t="shared" si="13"/>
        <v>0</v>
      </c>
      <c r="M29" s="21">
        <v>0</v>
      </c>
      <c r="N29" s="78">
        <f t="shared" si="17"/>
        <v>0</v>
      </c>
      <c r="O29" s="21">
        <v>0</v>
      </c>
      <c r="P29" s="79">
        <f t="shared" si="18"/>
        <v>0</v>
      </c>
      <c r="Q29" s="21">
        <v>0</v>
      </c>
      <c r="R29" s="80">
        <f t="shared" si="14"/>
        <v>0</v>
      </c>
      <c r="S29" s="14">
        <f t="shared" si="14"/>
        <v>0</v>
      </c>
      <c r="T29" s="80">
        <f t="shared" si="15"/>
        <v>0</v>
      </c>
    </row>
    <row r="30" spans="1:31" ht="15.5" x14ac:dyDescent="0.35">
      <c r="A30" s="44"/>
      <c r="B30" s="23">
        <v>5</v>
      </c>
      <c r="C30" s="82" t="s">
        <v>52</v>
      </c>
      <c r="D30" s="61">
        <v>0</v>
      </c>
      <c r="E30" s="77">
        <v>0</v>
      </c>
      <c r="F30" s="82"/>
      <c r="G30" s="77">
        <v>1</v>
      </c>
      <c r="H30" s="78">
        <f t="shared" si="12"/>
        <v>0</v>
      </c>
      <c r="I30" s="21">
        <v>0</v>
      </c>
      <c r="J30" s="78">
        <f t="shared" si="16"/>
        <v>0</v>
      </c>
      <c r="K30" s="21">
        <v>0</v>
      </c>
      <c r="L30" s="78">
        <f t="shared" si="13"/>
        <v>0</v>
      </c>
      <c r="M30" s="21">
        <v>0</v>
      </c>
      <c r="N30" s="78">
        <v>0</v>
      </c>
      <c r="O30" s="21">
        <v>0</v>
      </c>
      <c r="P30" s="79">
        <f t="shared" si="18"/>
        <v>0</v>
      </c>
      <c r="Q30" s="21">
        <v>0</v>
      </c>
      <c r="R30" s="80">
        <f t="shared" si="14"/>
        <v>0</v>
      </c>
      <c r="S30" s="14">
        <f t="shared" si="14"/>
        <v>0</v>
      </c>
      <c r="T30" s="80">
        <f t="shared" si="15"/>
        <v>0</v>
      </c>
    </row>
    <row r="31" spans="1:31" ht="15.5" x14ac:dyDescent="0.35">
      <c r="A31" s="44"/>
      <c r="B31" s="23">
        <v>6</v>
      </c>
      <c r="C31" s="82" t="s">
        <v>53</v>
      </c>
      <c r="D31" s="61">
        <v>0</v>
      </c>
      <c r="E31" s="77">
        <v>0</v>
      </c>
      <c r="F31" s="82"/>
      <c r="G31" s="77">
        <v>0</v>
      </c>
      <c r="H31" s="78">
        <f t="shared" si="12"/>
        <v>0</v>
      </c>
      <c r="I31" s="21">
        <v>0</v>
      </c>
      <c r="J31" s="78">
        <f t="shared" si="16"/>
        <v>0</v>
      </c>
      <c r="K31" s="21">
        <v>0</v>
      </c>
      <c r="L31" s="78">
        <f t="shared" si="13"/>
        <v>0</v>
      </c>
      <c r="M31" s="21">
        <v>0</v>
      </c>
      <c r="N31" s="78">
        <f t="shared" si="17"/>
        <v>0</v>
      </c>
      <c r="O31" s="21">
        <v>0</v>
      </c>
      <c r="P31" s="79">
        <f t="shared" si="18"/>
        <v>0</v>
      </c>
      <c r="Q31" s="21">
        <v>0</v>
      </c>
      <c r="R31" s="80">
        <f t="shared" si="14"/>
        <v>0</v>
      </c>
      <c r="S31" s="14">
        <f t="shared" si="14"/>
        <v>0</v>
      </c>
      <c r="T31" s="80">
        <f t="shared" si="15"/>
        <v>0</v>
      </c>
    </row>
    <row r="32" spans="1:31" ht="15.5" x14ac:dyDescent="0.35">
      <c r="A32" s="44"/>
      <c r="B32" s="23">
        <v>7</v>
      </c>
      <c r="C32" s="82" t="s">
        <v>54</v>
      </c>
      <c r="D32" s="61">
        <v>8051.69</v>
      </c>
      <c r="E32" s="77">
        <v>0.81542000000000003</v>
      </c>
      <c r="F32" s="82"/>
      <c r="G32" s="77">
        <v>1</v>
      </c>
      <c r="H32" s="78">
        <f t="shared" si="12"/>
        <v>6565.5090597999997</v>
      </c>
      <c r="I32" s="21">
        <v>0</v>
      </c>
      <c r="J32" s="78">
        <f t="shared" si="16"/>
        <v>6762</v>
      </c>
      <c r="K32" s="21">
        <v>0</v>
      </c>
      <c r="L32" s="78">
        <v>0</v>
      </c>
      <c r="M32" s="21">
        <v>0</v>
      </c>
      <c r="N32" s="78">
        <v>0</v>
      </c>
      <c r="O32" s="21">
        <v>0</v>
      </c>
      <c r="P32" s="79">
        <f t="shared" si="18"/>
        <v>0</v>
      </c>
      <c r="Q32" s="21">
        <v>0</v>
      </c>
      <c r="R32" s="80">
        <f t="shared" si="14"/>
        <v>13327.509059799999</v>
      </c>
      <c r="S32" s="14">
        <f t="shared" si="14"/>
        <v>0</v>
      </c>
      <c r="T32" s="80">
        <f t="shared" si="15"/>
        <v>13327.509059799999</v>
      </c>
    </row>
    <row r="33" spans="1:22" ht="15.5" x14ac:dyDescent="0.35">
      <c r="A33" s="44"/>
      <c r="B33" s="23">
        <v>8</v>
      </c>
      <c r="C33" s="82" t="s">
        <v>55</v>
      </c>
      <c r="D33" s="61">
        <v>4837.33</v>
      </c>
      <c r="E33" s="77">
        <v>0</v>
      </c>
      <c r="F33" s="82"/>
      <c r="G33" s="77">
        <v>1</v>
      </c>
      <c r="H33" s="78">
        <f>D33*(E33)*G33</f>
        <v>0</v>
      </c>
      <c r="I33" s="21">
        <v>0</v>
      </c>
      <c r="J33" s="78">
        <f t="shared" si="16"/>
        <v>0</v>
      </c>
      <c r="K33" s="21">
        <v>0</v>
      </c>
      <c r="L33" s="78">
        <f t="shared" si="13"/>
        <v>0</v>
      </c>
      <c r="M33" s="21">
        <v>0</v>
      </c>
      <c r="N33" s="78">
        <v>0</v>
      </c>
      <c r="O33" s="21">
        <v>0</v>
      </c>
      <c r="P33" s="79">
        <f t="shared" si="18"/>
        <v>0</v>
      </c>
      <c r="Q33" s="21">
        <v>0</v>
      </c>
      <c r="R33" s="80">
        <f t="shared" si="14"/>
        <v>0</v>
      </c>
      <c r="S33" s="14">
        <f t="shared" si="14"/>
        <v>0</v>
      </c>
      <c r="T33" s="80">
        <f t="shared" si="15"/>
        <v>0</v>
      </c>
    </row>
    <row r="34" spans="1:22" ht="15.5" x14ac:dyDescent="0.35">
      <c r="A34" s="44"/>
      <c r="B34" s="23">
        <v>9</v>
      </c>
      <c r="C34" s="82" t="s">
        <v>56</v>
      </c>
      <c r="D34" s="61">
        <v>7212.75</v>
      </c>
      <c r="E34" s="77">
        <v>0.2</v>
      </c>
      <c r="F34" s="82"/>
      <c r="G34" s="77">
        <v>0</v>
      </c>
      <c r="H34" s="78">
        <f>D34*(E34)*G34</f>
        <v>0</v>
      </c>
      <c r="I34" s="21">
        <v>0</v>
      </c>
      <c r="J34" s="78">
        <f t="shared" si="16"/>
        <v>0</v>
      </c>
      <c r="K34" s="21">
        <v>0</v>
      </c>
      <c r="L34" s="78">
        <f t="shared" si="13"/>
        <v>0</v>
      </c>
      <c r="M34" s="21">
        <v>0</v>
      </c>
      <c r="N34" s="78">
        <v>0</v>
      </c>
      <c r="O34" s="21">
        <v>0</v>
      </c>
      <c r="P34" s="79">
        <f t="shared" si="18"/>
        <v>0</v>
      </c>
      <c r="Q34" s="21">
        <v>0</v>
      </c>
      <c r="R34" s="80">
        <f t="shared" si="14"/>
        <v>0</v>
      </c>
      <c r="S34" s="14">
        <f t="shared" si="14"/>
        <v>0</v>
      </c>
      <c r="T34" s="80">
        <f t="shared" si="15"/>
        <v>0</v>
      </c>
    </row>
    <row r="35" spans="1:22" ht="15.5" x14ac:dyDescent="0.35">
      <c r="A35" s="44"/>
      <c r="B35" s="23">
        <v>10</v>
      </c>
      <c r="C35" s="82" t="s">
        <v>57</v>
      </c>
      <c r="D35" s="61">
        <v>0</v>
      </c>
      <c r="E35" s="77">
        <v>0</v>
      </c>
      <c r="F35" s="82"/>
      <c r="G35" s="77">
        <v>0</v>
      </c>
      <c r="H35" s="78">
        <f t="shared" si="12"/>
        <v>0</v>
      </c>
      <c r="I35" s="21">
        <v>0</v>
      </c>
      <c r="J35" s="78">
        <f t="shared" si="16"/>
        <v>0</v>
      </c>
      <c r="K35" s="21">
        <v>0</v>
      </c>
      <c r="L35" s="78">
        <f t="shared" si="13"/>
        <v>0</v>
      </c>
      <c r="M35" s="21">
        <v>0</v>
      </c>
      <c r="N35" s="78">
        <f t="shared" si="17"/>
        <v>0</v>
      </c>
      <c r="O35" s="21">
        <v>0</v>
      </c>
      <c r="P35" s="79">
        <f t="shared" si="18"/>
        <v>0</v>
      </c>
      <c r="Q35" s="21">
        <v>0</v>
      </c>
      <c r="R35" s="80">
        <f t="shared" si="14"/>
        <v>0</v>
      </c>
      <c r="S35" s="14">
        <f t="shared" si="14"/>
        <v>0</v>
      </c>
      <c r="T35" s="80">
        <f t="shared" si="15"/>
        <v>0</v>
      </c>
    </row>
    <row r="36" spans="1:22" ht="15.5" x14ac:dyDescent="0.35">
      <c r="A36" s="44"/>
      <c r="B36" s="23">
        <v>11</v>
      </c>
      <c r="C36" s="82" t="s">
        <v>58</v>
      </c>
      <c r="D36" s="61">
        <v>0</v>
      </c>
      <c r="E36" s="77">
        <v>0</v>
      </c>
      <c r="F36" s="82"/>
      <c r="G36" s="77">
        <v>0</v>
      </c>
      <c r="H36" s="78">
        <f t="shared" si="12"/>
        <v>0</v>
      </c>
      <c r="I36" s="21">
        <v>0</v>
      </c>
      <c r="J36" s="78">
        <f t="shared" si="16"/>
        <v>0</v>
      </c>
      <c r="K36" s="21">
        <v>0</v>
      </c>
      <c r="L36" s="78">
        <f t="shared" si="13"/>
        <v>0</v>
      </c>
      <c r="M36" s="21">
        <v>0</v>
      </c>
      <c r="N36" s="78">
        <f t="shared" si="17"/>
        <v>0</v>
      </c>
      <c r="O36" s="21">
        <v>0</v>
      </c>
      <c r="P36" s="79">
        <f t="shared" si="18"/>
        <v>0</v>
      </c>
      <c r="Q36" s="21">
        <v>0</v>
      </c>
      <c r="R36" s="80">
        <f t="shared" si="14"/>
        <v>0</v>
      </c>
      <c r="S36" s="14">
        <f t="shared" si="14"/>
        <v>0</v>
      </c>
      <c r="T36" s="80">
        <f t="shared" si="15"/>
        <v>0</v>
      </c>
    </row>
    <row r="37" spans="1:22" ht="15.5" x14ac:dyDescent="0.35">
      <c r="A37" s="44"/>
      <c r="B37" s="23">
        <v>12</v>
      </c>
      <c r="C37" s="82" t="s">
        <v>58</v>
      </c>
      <c r="D37" s="61">
        <v>0</v>
      </c>
      <c r="E37" s="77">
        <v>0</v>
      </c>
      <c r="F37" s="82"/>
      <c r="G37" s="77">
        <v>0</v>
      </c>
      <c r="H37" s="78">
        <f t="shared" si="12"/>
        <v>0</v>
      </c>
      <c r="I37" s="21">
        <v>0</v>
      </c>
      <c r="J37" s="78">
        <f t="shared" si="16"/>
        <v>0</v>
      </c>
      <c r="K37" s="21">
        <v>0</v>
      </c>
      <c r="L37" s="78">
        <f t="shared" si="13"/>
        <v>0</v>
      </c>
      <c r="M37" s="21">
        <v>0</v>
      </c>
      <c r="N37" s="78">
        <f t="shared" si="17"/>
        <v>0</v>
      </c>
      <c r="O37" s="21">
        <v>0</v>
      </c>
      <c r="P37" s="79">
        <f t="shared" si="18"/>
        <v>0</v>
      </c>
      <c r="Q37" s="21">
        <v>0</v>
      </c>
      <c r="R37" s="80">
        <f t="shared" si="14"/>
        <v>0</v>
      </c>
      <c r="S37" s="14">
        <f t="shared" si="14"/>
        <v>0</v>
      </c>
      <c r="T37" s="80">
        <f t="shared" si="15"/>
        <v>0</v>
      </c>
    </row>
    <row r="38" spans="1:22" x14ac:dyDescent="0.25">
      <c r="A38" s="23"/>
      <c r="B38" s="23"/>
      <c r="C38" s="35"/>
      <c r="D38" s="28"/>
      <c r="E38" s="28"/>
      <c r="F38" s="28"/>
      <c r="G38" s="28"/>
      <c r="H38" s="39"/>
      <c r="I38" s="39"/>
      <c r="J38" s="39"/>
      <c r="K38" s="39"/>
      <c r="L38" s="39"/>
      <c r="M38" s="39"/>
      <c r="N38" s="39"/>
      <c r="O38" s="39"/>
      <c r="P38" s="39"/>
      <c r="Q38" s="39"/>
      <c r="R38" s="16"/>
      <c r="S38" s="16"/>
      <c r="T38" s="17"/>
    </row>
    <row r="39" spans="1:22" s="8" customFormat="1" ht="15.5" x14ac:dyDescent="0.35">
      <c r="A39" s="26"/>
      <c r="B39" s="26"/>
      <c r="C39" s="25" t="s">
        <v>59</v>
      </c>
      <c r="D39" s="40"/>
      <c r="E39" s="40"/>
      <c r="F39" s="40"/>
      <c r="G39" s="40"/>
      <c r="H39" s="33">
        <f t="shared" ref="H39:Q39" si="19">+H14+H25</f>
        <v>20937.002434800001</v>
      </c>
      <c r="I39" s="91">
        <f t="shared" si="19"/>
        <v>0</v>
      </c>
      <c r="J39" s="92">
        <f t="shared" si="19"/>
        <v>21565</v>
      </c>
      <c r="K39" s="91">
        <f t="shared" si="19"/>
        <v>0</v>
      </c>
      <c r="L39" s="92">
        <f t="shared" si="19"/>
        <v>0</v>
      </c>
      <c r="M39" s="91">
        <f t="shared" si="19"/>
        <v>0</v>
      </c>
      <c r="N39" s="92">
        <f t="shared" si="19"/>
        <v>0</v>
      </c>
      <c r="O39" s="91">
        <f t="shared" si="19"/>
        <v>0</v>
      </c>
      <c r="P39" s="92">
        <f t="shared" si="19"/>
        <v>0</v>
      </c>
      <c r="Q39" s="91">
        <f t="shared" si="19"/>
        <v>0</v>
      </c>
      <c r="R39" s="93">
        <f>SUM(H39+J39+L39+N39+P39)</f>
        <v>42502.002434800001</v>
      </c>
      <c r="S39" s="13">
        <f>SUM(I39+K39+M39+O39+Q39)</f>
        <v>0</v>
      </c>
      <c r="T39" s="94">
        <f>SUM(R39+S39)</f>
        <v>42502.002434800001</v>
      </c>
      <c r="U39" s="2"/>
      <c r="V39" s="2"/>
    </row>
    <row r="40" spans="1:22" ht="15.5" x14ac:dyDescent="0.35">
      <c r="A40" s="23"/>
      <c r="B40" s="23"/>
      <c r="C40" s="23"/>
      <c r="D40" s="28"/>
      <c r="E40" s="28"/>
      <c r="F40" s="28"/>
      <c r="G40" s="28"/>
      <c r="H40" s="38"/>
      <c r="I40" s="38"/>
      <c r="J40" s="38"/>
      <c r="K40" s="38"/>
      <c r="L40" s="38"/>
      <c r="M40" s="38"/>
      <c r="N40" s="38"/>
      <c r="O40" s="38"/>
      <c r="P40" s="38"/>
      <c r="Q40" s="38"/>
      <c r="R40" s="18"/>
      <c r="S40" s="18"/>
      <c r="T40" s="15"/>
      <c r="U40" s="2"/>
      <c r="V40" s="2"/>
    </row>
    <row r="41" spans="1:22" ht="15.5" x14ac:dyDescent="0.35">
      <c r="A41" s="44" t="s">
        <v>60</v>
      </c>
      <c r="B41" s="25"/>
      <c r="C41" s="43" t="s">
        <v>61</v>
      </c>
      <c r="D41" s="28" t="s">
        <v>62</v>
      </c>
      <c r="E41" s="28"/>
      <c r="F41" s="28"/>
      <c r="G41" s="28"/>
      <c r="H41" s="30">
        <f t="shared" ref="H41:Q41" si="20">SUM(H42:H62)</f>
        <v>5570</v>
      </c>
      <c r="I41" s="31">
        <f t="shared" si="20"/>
        <v>0</v>
      </c>
      <c r="J41" s="30">
        <f t="shared" si="20"/>
        <v>5737</v>
      </c>
      <c r="K41" s="31">
        <f t="shared" si="20"/>
        <v>0</v>
      </c>
      <c r="L41" s="30">
        <f t="shared" si="20"/>
        <v>0</v>
      </c>
      <c r="M41" s="31">
        <f t="shared" si="20"/>
        <v>0</v>
      </c>
      <c r="N41" s="30">
        <f t="shared" si="20"/>
        <v>0</v>
      </c>
      <c r="O41" s="31">
        <f t="shared" si="20"/>
        <v>0</v>
      </c>
      <c r="P41" s="33">
        <f t="shared" si="20"/>
        <v>0</v>
      </c>
      <c r="Q41" s="31">
        <f t="shared" si="20"/>
        <v>0</v>
      </c>
      <c r="R41" s="12">
        <f>SUM(H41+J41+L41+N41+P41)</f>
        <v>11307</v>
      </c>
      <c r="S41" s="13">
        <f>SUM(I41+K41+M41+O41+Q41)</f>
        <v>0</v>
      </c>
      <c r="T41" s="12">
        <f>SUM(R41+S41)</f>
        <v>11307</v>
      </c>
    </row>
    <row r="42" spans="1:22" ht="15.5" x14ac:dyDescent="0.35">
      <c r="A42" s="44"/>
      <c r="B42" s="23"/>
      <c r="C42" s="82" t="str">
        <f>+C15</f>
        <v>Brian Gelder</v>
      </c>
      <c r="D42" s="401">
        <v>0.40200000000000002</v>
      </c>
      <c r="E42" s="401"/>
      <c r="F42" s="77"/>
      <c r="G42" s="77"/>
      <c r="H42" s="78">
        <f t="shared" ref="H42:H50" si="21">ROUND(D42*H15,0)</f>
        <v>1255</v>
      </c>
      <c r="I42" s="21">
        <f t="shared" ref="I42:I50" si="22">ROUND(D42*I15,0)</f>
        <v>0</v>
      </c>
      <c r="J42" s="78">
        <f t="shared" ref="J42:J50" si="23">ROUND(D42*J15,0)</f>
        <v>1292</v>
      </c>
      <c r="K42" s="21">
        <f t="shared" ref="K42:K50" si="24">ROUND(D42*K15,0)</f>
        <v>0</v>
      </c>
      <c r="L42" s="78">
        <f t="shared" ref="L42:L50" si="25">ROUND(D42*L15,0)</f>
        <v>0</v>
      </c>
      <c r="M42" s="21">
        <f t="shared" ref="M42:M50" si="26">ROUND(D42*M15,0)</f>
        <v>0</v>
      </c>
      <c r="N42" s="78">
        <f t="shared" ref="N42:N50" si="27">ROUND(D42*N15,0)</f>
        <v>0</v>
      </c>
      <c r="O42" s="22">
        <f t="shared" ref="O42:O50" si="28">ROUND(D42*O15,0)</f>
        <v>0</v>
      </c>
      <c r="P42" s="79">
        <f t="shared" ref="P42:P50" si="29">ROUND(D42*P15,0)</f>
        <v>0</v>
      </c>
      <c r="Q42" s="22">
        <f t="shared" ref="Q42:Q50" si="30">ROUND(D42*Q15,0)</f>
        <v>0</v>
      </c>
      <c r="R42" s="80">
        <f t="shared" ref="R42:S62" si="31">SUM(H42+J42+L42+N42+P42)</f>
        <v>2547</v>
      </c>
      <c r="S42" s="14">
        <f t="shared" si="31"/>
        <v>0</v>
      </c>
      <c r="T42" s="80">
        <f t="shared" ref="T42:T62" si="32">SUM(R42+S42)</f>
        <v>2547</v>
      </c>
      <c r="U42" s="2"/>
      <c r="V42" s="2"/>
    </row>
    <row r="43" spans="1:22" ht="15.5" x14ac:dyDescent="0.35">
      <c r="A43" s="44"/>
      <c r="B43" s="23"/>
      <c r="C43" s="82">
        <f>+C16</f>
        <v>0</v>
      </c>
      <c r="D43" s="401">
        <v>0.3</v>
      </c>
      <c r="E43" s="401"/>
      <c r="F43" s="77"/>
      <c r="G43" s="77"/>
      <c r="H43" s="78">
        <f t="shared" si="21"/>
        <v>0</v>
      </c>
      <c r="I43" s="21">
        <f t="shared" si="22"/>
        <v>0</v>
      </c>
      <c r="J43" s="78">
        <f t="shared" si="23"/>
        <v>0</v>
      </c>
      <c r="K43" s="21">
        <f t="shared" si="24"/>
        <v>0</v>
      </c>
      <c r="L43" s="78">
        <f t="shared" si="25"/>
        <v>0</v>
      </c>
      <c r="M43" s="21">
        <f t="shared" si="26"/>
        <v>0</v>
      </c>
      <c r="N43" s="78">
        <f t="shared" si="27"/>
        <v>0</v>
      </c>
      <c r="O43" s="22">
        <f t="shared" si="28"/>
        <v>0</v>
      </c>
      <c r="P43" s="79">
        <f t="shared" si="29"/>
        <v>0</v>
      </c>
      <c r="Q43" s="22">
        <f t="shared" si="30"/>
        <v>0</v>
      </c>
      <c r="R43" s="80">
        <f t="shared" si="31"/>
        <v>0</v>
      </c>
      <c r="S43" s="14">
        <f t="shared" si="31"/>
        <v>0</v>
      </c>
      <c r="T43" s="80">
        <f t="shared" si="32"/>
        <v>0</v>
      </c>
      <c r="U43" s="2"/>
      <c r="V43" s="2"/>
    </row>
    <row r="44" spans="1:22" ht="15.5" x14ac:dyDescent="0.35">
      <c r="A44" s="44"/>
      <c r="B44" s="23"/>
      <c r="C44" s="82">
        <f>+C17</f>
        <v>0</v>
      </c>
      <c r="D44" s="401">
        <v>0.3</v>
      </c>
      <c r="E44" s="401"/>
      <c r="F44" s="77"/>
      <c r="G44" s="77"/>
      <c r="H44" s="78">
        <f t="shared" si="21"/>
        <v>0</v>
      </c>
      <c r="I44" s="21">
        <f t="shared" si="22"/>
        <v>0</v>
      </c>
      <c r="J44" s="78">
        <f t="shared" si="23"/>
        <v>0</v>
      </c>
      <c r="K44" s="21">
        <f t="shared" si="24"/>
        <v>0</v>
      </c>
      <c r="L44" s="78">
        <f t="shared" si="25"/>
        <v>0</v>
      </c>
      <c r="M44" s="21">
        <f t="shared" si="26"/>
        <v>0</v>
      </c>
      <c r="N44" s="78">
        <f t="shared" si="27"/>
        <v>0</v>
      </c>
      <c r="O44" s="22">
        <f t="shared" si="28"/>
        <v>0</v>
      </c>
      <c r="P44" s="79">
        <f t="shared" si="29"/>
        <v>0</v>
      </c>
      <c r="Q44" s="22">
        <f t="shared" si="30"/>
        <v>0</v>
      </c>
      <c r="R44" s="80">
        <f t="shared" si="31"/>
        <v>0</v>
      </c>
      <c r="S44" s="14">
        <f t="shared" si="31"/>
        <v>0</v>
      </c>
      <c r="T44" s="80">
        <f t="shared" si="32"/>
        <v>0</v>
      </c>
      <c r="U44" s="2"/>
      <c r="V44" s="2"/>
    </row>
    <row r="45" spans="1:22" ht="15.5" x14ac:dyDescent="0.35">
      <c r="A45" s="44"/>
      <c r="B45" s="23"/>
      <c r="C45" s="82">
        <f>+C18</f>
        <v>0</v>
      </c>
      <c r="D45" s="401">
        <v>0.3</v>
      </c>
      <c r="E45" s="401"/>
      <c r="F45" s="77"/>
      <c r="G45" s="77"/>
      <c r="H45" s="78">
        <f t="shared" si="21"/>
        <v>0</v>
      </c>
      <c r="I45" s="21">
        <f t="shared" si="22"/>
        <v>0</v>
      </c>
      <c r="J45" s="78">
        <f t="shared" si="23"/>
        <v>0</v>
      </c>
      <c r="K45" s="21">
        <f t="shared" si="24"/>
        <v>0</v>
      </c>
      <c r="L45" s="78">
        <f t="shared" si="25"/>
        <v>0</v>
      </c>
      <c r="M45" s="21">
        <f t="shared" si="26"/>
        <v>0</v>
      </c>
      <c r="N45" s="78">
        <f t="shared" si="27"/>
        <v>0</v>
      </c>
      <c r="O45" s="22">
        <f t="shared" si="28"/>
        <v>0</v>
      </c>
      <c r="P45" s="79">
        <f t="shared" si="29"/>
        <v>0</v>
      </c>
      <c r="Q45" s="22">
        <f t="shared" si="30"/>
        <v>0</v>
      </c>
      <c r="R45" s="80">
        <f t="shared" si="31"/>
        <v>0</v>
      </c>
      <c r="S45" s="14">
        <f t="shared" si="31"/>
        <v>0</v>
      </c>
      <c r="T45" s="80">
        <f t="shared" si="32"/>
        <v>0</v>
      </c>
      <c r="U45" s="2"/>
      <c r="V45" s="2"/>
    </row>
    <row r="46" spans="1:22" ht="15.5" x14ac:dyDescent="0.35">
      <c r="A46" s="44"/>
      <c r="B46" s="23"/>
      <c r="C46" s="82">
        <f>+C19</f>
        <v>0</v>
      </c>
      <c r="D46" s="401">
        <v>0.3</v>
      </c>
      <c r="E46" s="401"/>
      <c r="F46" s="77"/>
      <c r="G46" s="77"/>
      <c r="H46" s="78">
        <f t="shared" si="21"/>
        <v>0</v>
      </c>
      <c r="I46" s="21">
        <f t="shared" si="22"/>
        <v>0</v>
      </c>
      <c r="J46" s="78">
        <f t="shared" si="23"/>
        <v>0</v>
      </c>
      <c r="K46" s="21">
        <f t="shared" si="24"/>
        <v>0</v>
      </c>
      <c r="L46" s="78">
        <f t="shared" si="25"/>
        <v>0</v>
      </c>
      <c r="M46" s="21">
        <f t="shared" si="26"/>
        <v>0</v>
      </c>
      <c r="N46" s="78">
        <f t="shared" si="27"/>
        <v>0</v>
      </c>
      <c r="O46" s="22">
        <f t="shared" si="28"/>
        <v>0</v>
      </c>
      <c r="P46" s="79">
        <f t="shared" si="29"/>
        <v>0</v>
      </c>
      <c r="Q46" s="22">
        <f t="shared" si="30"/>
        <v>0</v>
      </c>
      <c r="R46" s="80">
        <f t="shared" si="31"/>
        <v>0</v>
      </c>
      <c r="S46" s="14">
        <f t="shared" si="31"/>
        <v>0</v>
      </c>
      <c r="T46" s="80">
        <f t="shared" si="32"/>
        <v>0</v>
      </c>
    </row>
    <row r="47" spans="1:22" ht="15.5" x14ac:dyDescent="0.35">
      <c r="A47" s="44"/>
      <c r="B47" s="23"/>
      <c r="C47" s="82">
        <f>C20</f>
        <v>0</v>
      </c>
      <c r="D47" s="401">
        <v>0.3</v>
      </c>
      <c r="E47" s="401"/>
      <c r="F47" s="77"/>
      <c r="G47" s="77"/>
      <c r="H47" s="78">
        <f t="shared" si="21"/>
        <v>0</v>
      </c>
      <c r="I47" s="21">
        <f t="shared" si="22"/>
        <v>0</v>
      </c>
      <c r="J47" s="78">
        <f t="shared" si="23"/>
        <v>0</v>
      </c>
      <c r="K47" s="21">
        <f t="shared" si="24"/>
        <v>0</v>
      </c>
      <c r="L47" s="78">
        <f t="shared" si="25"/>
        <v>0</v>
      </c>
      <c r="M47" s="21">
        <f t="shared" si="26"/>
        <v>0</v>
      </c>
      <c r="N47" s="78">
        <f t="shared" si="27"/>
        <v>0</v>
      </c>
      <c r="O47" s="22">
        <f t="shared" si="28"/>
        <v>0</v>
      </c>
      <c r="P47" s="79">
        <f t="shared" si="29"/>
        <v>0</v>
      </c>
      <c r="Q47" s="22">
        <f t="shared" si="30"/>
        <v>0</v>
      </c>
      <c r="R47" s="80">
        <f t="shared" si="31"/>
        <v>0</v>
      </c>
      <c r="S47" s="14">
        <f t="shared" si="31"/>
        <v>0</v>
      </c>
      <c r="T47" s="80">
        <f t="shared" si="32"/>
        <v>0</v>
      </c>
    </row>
    <row r="48" spans="1:22" ht="15.5" x14ac:dyDescent="0.35">
      <c r="A48" s="44"/>
      <c r="B48" s="23"/>
      <c r="C48" s="82">
        <f>C21</f>
        <v>0</v>
      </c>
      <c r="D48" s="401">
        <v>0.3</v>
      </c>
      <c r="E48" s="401"/>
      <c r="F48" s="77"/>
      <c r="G48" s="77"/>
      <c r="H48" s="78">
        <f t="shared" si="21"/>
        <v>0</v>
      </c>
      <c r="I48" s="21">
        <f t="shared" si="22"/>
        <v>0</v>
      </c>
      <c r="J48" s="78">
        <f t="shared" si="23"/>
        <v>0</v>
      </c>
      <c r="K48" s="21">
        <f t="shared" si="24"/>
        <v>0</v>
      </c>
      <c r="L48" s="78">
        <f t="shared" si="25"/>
        <v>0</v>
      </c>
      <c r="M48" s="21">
        <f t="shared" si="26"/>
        <v>0</v>
      </c>
      <c r="N48" s="78">
        <f t="shared" si="27"/>
        <v>0</v>
      </c>
      <c r="O48" s="22">
        <f t="shared" si="28"/>
        <v>0</v>
      </c>
      <c r="P48" s="79">
        <f t="shared" si="29"/>
        <v>0</v>
      </c>
      <c r="Q48" s="22">
        <f t="shared" si="30"/>
        <v>0</v>
      </c>
      <c r="R48" s="80">
        <f t="shared" si="31"/>
        <v>0</v>
      </c>
      <c r="S48" s="14">
        <f t="shared" si="31"/>
        <v>0</v>
      </c>
      <c r="T48" s="80">
        <f t="shared" si="32"/>
        <v>0</v>
      </c>
    </row>
    <row r="49" spans="1:22" ht="15.5" x14ac:dyDescent="0.35">
      <c r="A49" s="44"/>
      <c r="B49" s="23"/>
      <c r="C49" s="82">
        <f>C22</f>
        <v>0</v>
      </c>
      <c r="D49" s="401">
        <v>0.3</v>
      </c>
      <c r="E49" s="401"/>
      <c r="F49" s="77"/>
      <c r="G49" s="77"/>
      <c r="H49" s="78">
        <f t="shared" si="21"/>
        <v>0</v>
      </c>
      <c r="I49" s="21">
        <f t="shared" si="22"/>
        <v>0</v>
      </c>
      <c r="J49" s="78">
        <f t="shared" si="23"/>
        <v>0</v>
      </c>
      <c r="K49" s="21">
        <f t="shared" si="24"/>
        <v>0</v>
      </c>
      <c r="L49" s="78">
        <f t="shared" si="25"/>
        <v>0</v>
      </c>
      <c r="M49" s="21">
        <f t="shared" si="26"/>
        <v>0</v>
      </c>
      <c r="N49" s="78">
        <f t="shared" si="27"/>
        <v>0</v>
      </c>
      <c r="O49" s="22">
        <f t="shared" si="28"/>
        <v>0</v>
      </c>
      <c r="P49" s="79">
        <f t="shared" si="29"/>
        <v>0</v>
      </c>
      <c r="Q49" s="22">
        <f t="shared" si="30"/>
        <v>0</v>
      </c>
      <c r="R49" s="80">
        <f t="shared" si="31"/>
        <v>0</v>
      </c>
      <c r="S49" s="14">
        <f t="shared" si="31"/>
        <v>0</v>
      </c>
      <c r="T49" s="80">
        <f t="shared" si="32"/>
        <v>0</v>
      </c>
    </row>
    <row r="50" spans="1:22" ht="15.5" x14ac:dyDescent="0.35">
      <c r="A50" s="44"/>
      <c r="B50" s="23"/>
      <c r="C50" s="82">
        <f>C23</f>
        <v>0</v>
      </c>
      <c r="D50" s="401">
        <v>0.3</v>
      </c>
      <c r="E50" s="401"/>
      <c r="F50" s="77"/>
      <c r="G50" s="77"/>
      <c r="H50" s="78">
        <f t="shared" si="21"/>
        <v>0</v>
      </c>
      <c r="I50" s="21">
        <f t="shared" si="22"/>
        <v>0</v>
      </c>
      <c r="J50" s="78">
        <f t="shared" si="23"/>
        <v>0</v>
      </c>
      <c r="K50" s="21">
        <f t="shared" si="24"/>
        <v>0</v>
      </c>
      <c r="L50" s="78">
        <f t="shared" si="25"/>
        <v>0</v>
      </c>
      <c r="M50" s="21">
        <f t="shared" si="26"/>
        <v>0</v>
      </c>
      <c r="N50" s="78">
        <f t="shared" si="27"/>
        <v>0</v>
      </c>
      <c r="O50" s="22">
        <f t="shared" si="28"/>
        <v>0</v>
      </c>
      <c r="P50" s="79">
        <f t="shared" si="29"/>
        <v>0</v>
      </c>
      <c r="Q50" s="22">
        <f t="shared" si="30"/>
        <v>0</v>
      </c>
      <c r="R50" s="80">
        <f t="shared" si="31"/>
        <v>0</v>
      </c>
      <c r="S50" s="14">
        <f t="shared" si="31"/>
        <v>0</v>
      </c>
      <c r="T50" s="80">
        <f t="shared" si="32"/>
        <v>0</v>
      </c>
    </row>
    <row r="51" spans="1:22" ht="15.5" x14ac:dyDescent="0.35">
      <c r="A51" s="44"/>
      <c r="B51" s="23"/>
      <c r="C51" s="82" t="str">
        <f t="shared" ref="C51:C56" si="33">+C26</f>
        <v>Post Doc</v>
      </c>
      <c r="D51" s="401">
        <v>0.33300000000000002</v>
      </c>
      <c r="E51" s="401"/>
      <c r="F51" s="77"/>
      <c r="G51" s="77"/>
      <c r="H51" s="78">
        <f t="shared" ref="H51:H58" si="34">ROUND(D51*H26,0)</f>
        <v>0</v>
      </c>
      <c r="I51" s="21">
        <f t="shared" ref="I51:I58" si="35">ROUND(D51*I26,0)</f>
        <v>0</v>
      </c>
      <c r="J51" s="78">
        <f>ROUND(D51*J26,0)</f>
        <v>0</v>
      </c>
      <c r="K51" s="21">
        <f t="shared" ref="K51:K58" si="36">ROUND(D51*K26,0)</f>
        <v>0</v>
      </c>
      <c r="L51" s="78">
        <f t="shared" ref="L51:L58" si="37">ROUND(D51*L26,0)</f>
        <v>0</v>
      </c>
      <c r="M51" s="21">
        <f t="shared" ref="M51:M58" si="38">ROUND(D51*M26,0)</f>
        <v>0</v>
      </c>
      <c r="N51" s="78">
        <f t="shared" ref="N51:N58" si="39">ROUND(D51*N26,0)</f>
        <v>0</v>
      </c>
      <c r="O51" s="22">
        <f t="shared" ref="O51:O58" si="40">ROUND(D51*O26,0)</f>
        <v>0</v>
      </c>
      <c r="P51" s="79">
        <f t="shared" ref="P51:P58" si="41">ROUND(D51*P26,0)</f>
        <v>0</v>
      </c>
      <c r="Q51" s="22">
        <f t="shared" ref="Q51:Q58" si="42">ROUND(D51*Q26,0)</f>
        <v>0</v>
      </c>
      <c r="R51" s="80">
        <f t="shared" si="31"/>
        <v>0</v>
      </c>
      <c r="S51" s="14">
        <f t="shared" si="31"/>
        <v>0</v>
      </c>
      <c r="T51" s="80">
        <f t="shared" si="32"/>
        <v>0</v>
      </c>
    </row>
    <row r="52" spans="1:22" ht="15.5" x14ac:dyDescent="0.35">
      <c r="A52" s="44"/>
      <c r="B52" s="23"/>
      <c r="C52" s="82" t="str">
        <f t="shared" si="33"/>
        <v>Post Doc</v>
      </c>
      <c r="D52" s="401">
        <v>0.33300000000000002</v>
      </c>
      <c r="E52" s="401"/>
      <c r="F52" s="77"/>
      <c r="G52" s="77"/>
      <c r="H52" s="78">
        <f t="shared" si="34"/>
        <v>0</v>
      </c>
      <c r="I52" s="21">
        <f t="shared" si="35"/>
        <v>0</v>
      </c>
      <c r="J52" s="78">
        <f t="shared" ref="J52:J62" si="43">ROUND(D52*J27,0)</f>
        <v>0</v>
      </c>
      <c r="K52" s="21">
        <f t="shared" si="36"/>
        <v>0</v>
      </c>
      <c r="L52" s="78">
        <f t="shared" si="37"/>
        <v>0</v>
      </c>
      <c r="M52" s="21">
        <f t="shared" si="38"/>
        <v>0</v>
      </c>
      <c r="N52" s="78">
        <f t="shared" si="39"/>
        <v>0</v>
      </c>
      <c r="O52" s="22">
        <f t="shared" si="40"/>
        <v>0</v>
      </c>
      <c r="P52" s="79">
        <f t="shared" si="41"/>
        <v>0</v>
      </c>
      <c r="Q52" s="22">
        <f t="shared" si="42"/>
        <v>0</v>
      </c>
      <c r="R52" s="80">
        <f t="shared" si="31"/>
        <v>0</v>
      </c>
      <c r="S52" s="14">
        <f t="shared" si="31"/>
        <v>0</v>
      </c>
      <c r="T52" s="80">
        <f t="shared" si="32"/>
        <v>0</v>
      </c>
    </row>
    <row r="53" spans="1:22" ht="15.75" customHeight="1" x14ac:dyDescent="0.25">
      <c r="A53" s="23"/>
      <c r="B53" s="23"/>
      <c r="C53" s="59" t="str">
        <f t="shared" si="33"/>
        <v>Research Asst-Halftime</v>
      </c>
      <c r="D53" s="401">
        <v>0.14899999999999999</v>
      </c>
      <c r="E53" s="401"/>
      <c r="F53" s="401"/>
      <c r="G53" s="77"/>
      <c r="H53" s="78">
        <f t="shared" si="34"/>
        <v>1676</v>
      </c>
      <c r="I53" s="21">
        <f t="shared" si="35"/>
        <v>0</v>
      </c>
      <c r="J53" s="78">
        <f t="shared" si="43"/>
        <v>1727</v>
      </c>
      <c r="K53" s="21">
        <f t="shared" si="36"/>
        <v>0</v>
      </c>
      <c r="L53" s="78">
        <f t="shared" si="37"/>
        <v>0</v>
      </c>
      <c r="M53" s="21">
        <f t="shared" si="38"/>
        <v>0</v>
      </c>
      <c r="N53" s="78">
        <f t="shared" si="39"/>
        <v>0</v>
      </c>
      <c r="O53" s="22">
        <f t="shared" si="40"/>
        <v>0</v>
      </c>
      <c r="P53" s="79">
        <f t="shared" si="41"/>
        <v>0</v>
      </c>
      <c r="Q53" s="22">
        <f t="shared" si="42"/>
        <v>0</v>
      </c>
      <c r="R53" s="80">
        <f t="shared" si="31"/>
        <v>3403</v>
      </c>
      <c r="S53" s="14">
        <f t="shared" si="31"/>
        <v>0</v>
      </c>
      <c r="T53" s="80">
        <f t="shared" si="32"/>
        <v>3403</v>
      </c>
    </row>
    <row r="54" spans="1:22" ht="15.75" customHeight="1" x14ac:dyDescent="0.25">
      <c r="A54" s="23"/>
      <c r="B54" s="23"/>
      <c r="C54" s="82" t="str">
        <f t="shared" si="33"/>
        <v>Research Asst-Halftime</v>
      </c>
      <c r="D54" s="401">
        <v>0.14899999999999999</v>
      </c>
      <c r="E54" s="401"/>
      <c r="F54" s="77"/>
      <c r="G54" s="59"/>
      <c r="H54" s="78">
        <f t="shared" si="34"/>
        <v>0</v>
      </c>
      <c r="I54" s="21">
        <f t="shared" si="35"/>
        <v>0</v>
      </c>
      <c r="J54" s="78">
        <f t="shared" si="43"/>
        <v>0</v>
      </c>
      <c r="K54" s="21">
        <f t="shared" si="36"/>
        <v>0</v>
      </c>
      <c r="L54" s="78">
        <f t="shared" si="37"/>
        <v>0</v>
      </c>
      <c r="M54" s="21">
        <f t="shared" si="38"/>
        <v>0</v>
      </c>
      <c r="N54" s="78">
        <f t="shared" si="39"/>
        <v>0</v>
      </c>
      <c r="O54" s="22">
        <f t="shared" si="40"/>
        <v>0</v>
      </c>
      <c r="P54" s="79">
        <f t="shared" si="41"/>
        <v>0</v>
      </c>
      <c r="Q54" s="22">
        <f t="shared" si="42"/>
        <v>0</v>
      </c>
      <c r="R54" s="80">
        <f t="shared" si="31"/>
        <v>0</v>
      </c>
      <c r="S54" s="14">
        <f t="shared" si="31"/>
        <v>0</v>
      </c>
      <c r="T54" s="80">
        <f t="shared" si="32"/>
        <v>0</v>
      </c>
    </row>
    <row r="55" spans="1:22" ht="15.75" customHeight="1" x14ac:dyDescent="0.25">
      <c r="A55" s="23"/>
      <c r="B55" s="23"/>
      <c r="C55" s="82" t="str">
        <f t="shared" si="33"/>
        <v>Hourly  - TS</v>
      </c>
      <c r="D55" s="401">
        <v>1.9E-2</v>
      </c>
      <c r="E55" s="401"/>
      <c r="F55" s="77"/>
      <c r="G55" s="59"/>
      <c r="H55" s="78">
        <f t="shared" si="34"/>
        <v>0</v>
      </c>
      <c r="I55" s="21">
        <f t="shared" si="35"/>
        <v>0</v>
      </c>
      <c r="J55" s="78">
        <f t="shared" si="43"/>
        <v>0</v>
      </c>
      <c r="K55" s="21">
        <f t="shared" si="36"/>
        <v>0</v>
      </c>
      <c r="L55" s="78">
        <f t="shared" si="37"/>
        <v>0</v>
      </c>
      <c r="M55" s="21">
        <f t="shared" si="38"/>
        <v>0</v>
      </c>
      <c r="N55" s="78">
        <f t="shared" si="39"/>
        <v>0</v>
      </c>
      <c r="O55" s="22">
        <f t="shared" si="40"/>
        <v>0</v>
      </c>
      <c r="P55" s="79">
        <f t="shared" si="41"/>
        <v>0</v>
      </c>
      <c r="Q55" s="22">
        <f t="shared" si="42"/>
        <v>0</v>
      </c>
      <c r="R55" s="80">
        <f t="shared" si="31"/>
        <v>0</v>
      </c>
      <c r="S55" s="14">
        <f t="shared" si="31"/>
        <v>0</v>
      </c>
      <c r="T55" s="80">
        <f t="shared" si="32"/>
        <v>0</v>
      </c>
    </row>
    <row r="56" spans="1:22" ht="15.75" customHeight="1" x14ac:dyDescent="0.25">
      <c r="A56" s="23"/>
      <c r="B56" s="23"/>
      <c r="C56" s="82" t="str">
        <f t="shared" si="33"/>
        <v>Hourly Undergraduate student</v>
      </c>
      <c r="D56" s="83">
        <v>1.9E-2</v>
      </c>
      <c r="E56" s="83"/>
      <c r="F56" s="59"/>
      <c r="G56" s="59"/>
      <c r="H56" s="78">
        <f t="shared" si="34"/>
        <v>0</v>
      </c>
      <c r="I56" s="21">
        <f t="shared" si="35"/>
        <v>0</v>
      </c>
      <c r="J56" s="78">
        <f t="shared" si="43"/>
        <v>0</v>
      </c>
      <c r="K56" s="21">
        <f t="shared" si="36"/>
        <v>0</v>
      </c>
      <c r="L56" s="78">
        <f t="shared" si="37"/>
        <v>0</v>
      </c>
      <c r="M56" s="21">
        <f t="shared" si="38"/>
        <v>0</v>
      </c>
      <c r="N56" s="78">
        <f t="shared" si="39"/>
        <v>0</v>
      </c>
      <c r="O56" s="22">
        <f t="shared" si="40"/>
        <v>0</v>
      </c>
      <c r="P56" s="79">
        <f t="shared" si="41"/>
        <v>0</v>
      </c>
      <c r="Q56" s="22">
        <f t="shared" si="42"/>
        <v>0</v>
      </c>
      <c r="R56" s="80">
        <f t="shared" si="31"/>
        <v>0</v>
      </c>
      <c r="S56" s="14">
        <f t="shared" si="31"/>
        <v>0</v>
      </c>
      <c r="T56" s="80">
        <f t="shared" si="32"/>
        <v>0</v>
      </c>
    </row>
    <row r="57" spans="1:22" ht="15.75" customHeight="1" x14ac:dyDescent="0.25">
      <c r="A57" s="23"/>
      <c r="B57" s="23"/>
      <c r="C57" s="82" t="str">
        <f>+C32</f>
        <v>P&amp;S- DH</v>
      </c>
      <c r="D57" s="83">
        <v>0.40200000000000002</v>
      </c>
      <c r="E57" s="83"/>
      <c r="F57" s="59"/>
      <c r="G57" s="59"/>
      <c r="H57" s="78">
        <f t="shared" si="34"/>
        <v>2639</v>
      </c>
      <c r="I57" s="21">
        <f t="shared" si="35"/>
        <v>0</v>
      </c>
      <c r="J57" s="78">
        <f t="shared" si="43"/>
        <v>2718</v>
      </c>
      <c r="K57" s="21">
        <f t="shared" si="36"/>
        <v>0</v>
      </c>
      <c r="L57" s="78">
        <f t="shared" si="37"/>
        <v>0</v>
      </c>
      <c r="M57" s="21">
        <f t="shared" si="38"/>
        <v>0</v>
      </c>
      <c r="N57" s="78">
        <f t="shared" si="39"/>
        <v>0</v>
      </c>
      <c r="O57" s="22">
        <f t="shared" si="40"/>
        <v>0</v>
      </c>
      <c r="P57" s="79">
        <f t="shared" si="41"/>
        <v>0</v>
      </c>
      <c r="Q57" s="22">
        <f t="shared" si="42"/>
        <v>0</v>
      </c>
      <c r="R57" s="80">
        <f t="shared" si="31"/>
        <v>5357</v>
      </c>
      <c r="S57" s="14">
        <f t="shared" si="31"/>
        <v>0</v>
      </c>
      <c r="T57" s="80">
        <f t="shared" si="32"/>
        <v>5357</v>
      </c>
      <c r="U57" s="2"/>
      <c r="V57" s="2"/>
    </row>
    <row r="58" spans="1:22" ht="15.75" customHeight="1" x14ac:dyDescent="0.25">
      <c r="A58" s="23"/>
      <c r="B58" s="23"/>
      <c r="C58" s="82" t="str">
        <f>+C33</f>
        <v>P&amp;S- CC</v>
      </c>
      <c r="D58" s="83">
        <v>0.40200000000000002</v>
      </c>
      <c r="E58" s="83"/>
      <c r="F58" s="59"/>
      <c r="G58" s="59"/>
      <c r="H58" s="78">
        <f t="shared" si="34"/>
        <v>0</v>
      </c>
      <c r="I58" s="21">
        <f t="shared" si="35"/>
        <v>0</v>
      </c>
      <c r="J58" s="78">
        <f t="shared" si="43"/>
        <v>0</v>
      </c>
      <c r="K58" s="21">
        <f t="shared" si="36"/>
        <v>0</v>
      </c>
      <c r="L58" s="78">
        <f t="shared" si="37"/>
        <v>0</v>
      </c>
      <c r="M58" s="21">
        <f t="shared" si="38"/>
        <v>0</v>
      </c>
      <c r="N58" s="78">
        <f t="shared" si="39"/>
        <v>0</v>
      </c>
      <c r="O58" s="22">
        <f t="shared" si="40"/>
        <v>0</v>
      </c>
      <c r="P58" s="79">
        <f t="shared" si="41"/>
        <v>0</v>
      </c>
      <c r="Q58" s="22">
        <f t="shared" si="42"/>
        <v>0</v>
      </c>
      <c r="R58" s="80">
        <f t="shared" si="31"/>
        <v>0</v>
      </c>
      <c r="S58" s="14">
        <f t="shared" si="31"/>
        <v>0</v>
      </c>
      <c r="T58" s="80">
        <f t="shared" si="32"/>
        <v>0</v>
      </c>
      <c r="U58" s="2"/>
      <c r="V58" s="2"/>
    </row>
    <row r="59" spans="1:22" ht="15.75" customHeight="1" x14ac:dyDescent="0.25">
      <c r="A59" s="23"/>
      <c r="B59" s="23"/>
      <c r="C59" s="82" t="str">
        <f t="shared" ref="C59:C62" si="44">+C34</f>
        <v>P&amp;S- LF</v>
      </c>
      <c r="D59" s="83">
        <v>0.40200000000000002</v>
      </c>
      <c r="E59" s="83"/>
      <c r="F59" s="59"/>
      <c r="G59" s="59"/>
      <c r="H59" s="78">
        <f t="shared" ref="H59:H61" si="45">ROUND(D59*H34,0)</f>
        <v>0</v>
      </c>
      <c r="I59" s="21">
        <f t="shared" ref="I59:I62" si="46">ROUND(D59*I34,0)</f>
        <v>0</v>
      </c>
      <c r="J59" s="78">
        <f t="shared" si="43"/>
        <v>0</v>
      </c>
      <c r="K59" s="21">
        <f t="shared" ref="K59:K62" si="47">ROUND(D59*K34,0)</f>
        <v>0</v>
      </c>
      <c r="L59" s="78">
        <f t="shared" ref="L59:L62" si="48">ROUND(D59*L34,0)</f>
        <v>0</v>
      </c>
      <c r="M59" s="21">
        <f t="shared" ref="M59:M62" si="49">ROUND(D59*M34,0)</f>
        <v>0</v>
      </c>
      <c r="N59" s="78">
        <f t="shared" ref="N59:N62" si="50">ROUND(D59*N34,0)</f>
        <v>0</v>
      </c>
      <c r="O59" s="22">
        <f t="shared" ref="O59:O62" si="51">ROUND(D59*O34,0)</f>
        <v>0</v>
      </c>
      <c r="P59" s="79">
        <f t="shared" ref="P59:P62" si="52">ROUND(D59*P34,0)</f>
        <v>0</v>
      </c>
      <c r="Q59" s="22">
        <f t="shared" ref="Q59:Q62" si="53">ROUND(D59*Q34,0)</f>
        <v>0</v>
      </c>
      <c r="R59" s="80">
        <f t="shared" si="31"/>
        <v>0</v>
      </c>
      <c r="S59" s="14">
        <f t="shared" si="31"/>
        <v>0</v>
      </c>
      <c r="T59" s="80">
        <f t="shared" si="32"/>
        <v>0</v>
      </c>
      <c r="U59" s="2"/>
      <c r="V59" s="2"/>
    </row>
    <row r="60" spans="1:22" ht="15.75" customHeight="1" x14ac:dyDescent="0.25">
      <c r="A60" s="23"/>
      <c r="B60" s="23"/>
      <c r="C60" s="82" t="str">
        <f t="shared" si="44"/>
        <v>Secretarial/Clerical</v>
      </c>
      <c r="D60" s="83">
        <v>0.52400000000000002</v>
      </c>
      <c r="E60" s="83"/>
      <c r="F60" s="59"/>
      <c r="G60" s="59"/>
      <c r="H60" s="78">
        <f t="shared" si="45"/>
        <v>0</v>
      </c>
      <c r="I60" s="21">
        <v>0</v>
      </c>
      <c r="J60" s="78">
        <f t="shared" si="43"/>
        <v>0</v>
      </c>
      <c r="K60" s="21">
        <f t="shared" si="47"/>
        <v>0</v>
      </c>
      <c r="L60" s="78">
        <f t="shared" si="48"/>
        <v>0</v>
      </c>
      <c r="M60" s="21">
        <f t="shared" si="49"/>
        <v>0</v>
      </c>
      <c r="N60" s="78">
        <f t="shared" si="50"/>
        <v>0</v>
      </c>
      <c r="O60" s="22">
        <f t="shared" si="51"/>
        <v>0</v>
      </c>
      <c r="P60" s="79">
        <f t="shared" si="52"/>
        <v>0</v>
      </c>
      <c r="Q60" s="22">
        <f t="shared" si="53"/>
        <v>0</v>
      </c>
      <c r="R60" s="80">
        <f t="shared" si="31"/>
        <v>0</v>
      </c>
      <c r="S60" s="14">
        <f t="shared" si="31"/>
        <v>0</v>
      </c>
      <c r="T60" s="80">
        <f t="shared" si="32"/>
        <v>0</v>
      </c>
      <c r="U60" s="2"/>
      <c r="V60" s="2"/>
    </row>
    <row r="61" spans="1:22" ht="15.75" customHeight="1" x14ac:dyDescent="0.25">
      <c r="A61" s="23"/>
      <c r="B61" s="23"/>
      <c r="C61" s="82" t="str">
        <f t="shared" si="44"/>
        <v>Non-Student Hourly</v>
      </c>
      <c r="D61" s="83">
        <v>7.0999999999999994E-2</v>
      </c>
      <c r="E61" s="83"/>
      <c r="F61" s="59"/>
      <c r="G61" s="59"/>
      <c r="H61" s="78">
        <f t="shared" si="45"/>
        <v>0</v>
      </c>
      <c r="I61" s="21">
        <f t="shared" si="46"/>
        <v>0</v>
      </c>
      <c r="J61" s="78">
        <f t="shared" si="43"/>
        <v>0</v>
      </c>
      <c r="K61" s="21">
        <f t="shared" si="47"/>
        <v>0</v>
      </c>
      <c r="L61" s="78">
        <f t="shared" si="48"/>
        <v>0</v>
      </c>
      <c r="M61" s="21">
        <f t="shared" si="49"/>
        <v>0</v>
      </c>
      <c r="N61" s="78">
        <f t="shared" si="50"/>
        <v>0</v>
      </c>
      <c r="O61" s="22">
        <f t="shared" si="51"/>
        <v>0</v>
      </c>
      <c r="P61" s="79">
        <f t="shared" si="52"/>
        <v>0</v>
      </c>
      <c r="Q61" s="22">
        <f t="shared" si="53"/>
        <v>0</v>
      </c>
      <c r="R61" s="80">
        <f t="shared" si="31"/>
        <v>0</v>
      </c>
      <c r="S61" s="14">
        <f t="shared" si="31"/>
        <v>0</v>
      </c>
      <c r="T61" s="80">
        <f t="shared" si="32"/>
        <v>0</v>
      </c>
      <c r="U61" s="2"/>
      <c r="V61" s="2"/>
    </row>
    <row r="62" spans="1:22" ht="15.75" customHeight="1" x14ac:dyDescent="0.25">
      <c r="A62" s="23"/>
      <c r="B62" s="23"/>
      <c r="C62" s="82" t="str">
        <f t="shared" si="44"/>
        <v>Non-Student Hourly</v>
      </c>
      <c r="D62" s="83">
        <v>7.0999999999999994E-2</v>
      </c>
      <c r="E62" s="83"/>
      <c r="F62" s="59"/>
      <c r="G62" s="59"/>
      <c r="H62" s="78">
        <f>ROUND(D62*H37,0)</f>
        <v>0</v>
      </c>
      <c r="I62" s="21">
        <f t="shared" si="46"/>
        <v>0</v>
      </c>
      <c r="J62" s="78">
        <f t="shared" si="43"/>
        <v>0</v>
      </c>
      <c r="K62" s="21">
        <f t="shared" si="47"/>
        <v>0</v>
      </c>
      <c r="L62" s="78">
        <f t="shared" si="48"/>
        <v>0</v>
      </c>
      <c r="M62" s="21">
        <f t="shared" si="49"/>
        <v>0</v>
      </c>
      <c r="N62" s="78">
        <f t="shared" si="50"/>
        <v>0</v>
      </c>
      <c r="O62" s="22">
        <f t="shared" si="51"/>
        <v>0</v>
      </c>
      <c r="P62" s="79">
        <f t="shared" si="52"/>
        <v>0</v>
      </c>
      <c r="Q62" s="22">
        <f t="shared" si="53"/>
        <v>0</v>
      </c>
      <c r="R62" s="80">
        <f t="shared" si="31"/>
        <v>0</v>
      </c>
      <c r="S62" s="14">
        <f t="shared" si="31"/>
        <v>0</v>
      </c>
      <c r="T62" s="80">
        <f t="shared" si="32"/>
        <v>0</v>
      </c>
      <c r="U62" s="2"/>
      <c r="V62" s="2"/>
    </row>
    <row r="63" spans="1:22" x14ac:dyDescent="0.25">
      <c r="A63" s="23"/>
      <c r="B63" s="23"/>
      <c r="C63" s="35"/>
      <c r="D63" s="42"/>
      <c r="E63" s="42"/>
      <c r="F63" s="23"/>
      <c r="G63" s="23"/>
      <c r="H63" s="39"/>
      <c r="I63" s="39"/>
      <c r="J63" s="39"/>
      <c r="K63" s="39"/>
      <c r="L63" s="39"/>
      <c r="M63" s="39"/>
      <c r="N63" s="39"/>
      <c r="O63" s="39"/>
      <c r="P63" s="39"/>
      <c r="Q63" s="39"/>
      <c r="R63" s="16"/>
      <c r="S63" s="16"/>
      <c r="T63" s="19"/>
      <c r="U63" s="2"/>
      <c r="V63" s="2"/>
    </row>
    <row r="64" spans="1:22" s="8" customFormat="1" ht="15.5" x14ac:dyDescent="0.35">
      <c r="A64" s="26"/>
      <c r="B64" s="26"/>
      <c r="C64" s="43" t="s">
        <v>63</v>
      </c>
      <c r="D64" s="44"/>
      <c r="E64" s="44"/>
      <c r="F64" s="45"/>
      <c r="G64" s="26"/>
      <c r="H64" s="33">
        <f>H39+H41</f>
        <v>26507.002434800001</v>
      </c>
      <c r="I64" s="91">
        <f>I39+I41</f>
        <v>0</v>
      </c>
      <c r="J64" s="92">
        <f t="shared" ref="J64:Q64" si="54">J39+J41</f>
        <v>27302</v>
      </c>
      <c r="K64" s="91">
        <f t="shared" si="54"/>
        <v>0</v>
      </c>
      <c r="L64" s="92">
        <f t="shared" si="54"/>
        <v>0</v>
      </c>
      <c r="M64" s="91">
        <f t="shared" si="54"/>
        <v>0</v>
      </c>
      <c r="N64" s="92">
        <f t="shared" si="54"/>
        <v>0</v>
      </c>
      <c r="O64" s="91">
        <f t="shared" si="54"/>
        <v>0</v>
      </c>
      <c r="P64" s="92">
        <f t="shared" si="54"/>
        <v>0</v>
      </c>
      <c r="Q64" s="91">
        <f t="shared" si="54"/>
        <v>0</v>
      </c>
      <c r="R64" s="93">
        <f>SUM(H64+J64+L64+N64+P64)</f>
        <v>53809.002434800001</v>
      </c>
      <c r="S64" s="13">
        <f>SUM(I64+K64+M64+O64+Q64)</f>
        <v>0</v>
      </c>
      <c r="T64" s="94">
        <f>SUM(R64+S64)</f>
        <v>53809.002434800001</v>
      </c>
      <c r="U64" s="1"/>
      <c r="V64" s="1"/>
    </row>
    <row r="65" spans="1:22" ht="15.5" x14ac:dyDescent="0.35">
      <c r="A65" s="36"/>
      <c r="B65" s="36"/>
      <c r="C65" s="46"/>
      <c r="D65" s="47"/>
      <c r="E65" s="47"/>
      <c r="F65" s="48"/>
      <c r="G65" s="36"/>
      <c r="H65" s="49"/>
      <c r="I65" s="49"/>
      <c r="J65" s="49"/>
      <c r="K65" s="49"/>
      <c r="L65" s="49"/>
      <c r="M65" s="49"/>
      <c r="N65" s="49"/>
      <c r="O65" s="49"/>
      <c r="P65" s="49"/>
      <c r="Q65" s="49"/>
      <c r="R65" s="20"/>
      <c r="S65" s="20"/>
      <c r="T65" s="20"/>
      <c r="U65" s="9"/>
      <c r="V65" s="9"/>
    </row>
    <row r="66" spans="1:22" ht="15.5" x14ac:dyDescent="0.35">
      <c r="A66" s="44" t="s">
        <v>64</v>
      </c>
      <c r="B66" s="23"/>
      <c r="C66" s="43" t="s">
        <v>65</v>
      </c>
      <c r="D66" s="51"/>
      <c r="E66" s="51"/>
      <c r="F66" s="34"/>
      <c r="G66" s="23"/>
      <c r="H66" s="30">
        <f t="shared" ref="H66:Q66" si="55">SUM(H67:H68)</f>
        <v>0</v>
      </c>
      <c r="I66" s="31">
        <f t="shared" si="55"/>
        <v>0</v>
      </c>
      <c r="J66" s="30">
        <f t="shared" si="55"/>
        <v>0</v>
      </c>
      <c r="K66" s="31">
        <f t="shared" si="55"/>
        <v>0</v>
      </c>
      <c r="L66" s="30">
        <f t="shared" si="55"/>
        <v>0</v>
      </c>
      <c r="M66" s="31">
        <f t="shared" si="55"/>
        <v>0</v>
      </c>
      <c r="N66" s="30">
        <f t="shared" si="55"/>
        <v>0</v>
      </c>
      <c r="O66" s="31">
        <f t="shared" si="55"/>
        <v>0</v>
      </c>
      <c r="P66" s="30">
        <f t="shared" si="55"/>
        <v>0</v>
      </c>
      <c r="Q66" s="31">
        <f t="shared" si="55"/>
        <v>0</v>
      </c>
      <c r="R66" s="12">
        <f t="shared" ref="R66:S68" si="56">SUM(H66+J66+L66+N66+P66)</f>
        <v>0</v>
      </c>
      <c r="S66" s="13">
        <f t="shared" si="56"/>
        <v>0</v>
      </c>
      <c r="T66" s="12">
        <f>SUM(R66+S66)</f>
        <v>0</v>
      </c>
    </row>
    <row r="67" spans="1:22" ht="15.5" x14ac:dyDescent="0.35">
      <c r="A67" s="52"/>
      <c r="B67" s="36"/>
      <c r="C67" s="82">
        <v>1</v>
      </c>
      <c r="D67" s="84"/>
      <c r="E67" s="84"/>
      <c r="F67" s="77"/>
      <c r="G67" s="59"/>
      <c r="H67" s="78"/>
      <c r="I67" s="53"/>
      <c r="J67" s="78"/>
      <c r="K67" s="53"/>
      <c r="L67" s="78"/>
      <c r="M67" s="53"/>
      <c r="N67" s="78"/>
      <c r="O67" s="53"/>
      <c r="P67" s="85"/>
      <c r="Q67" s="53"/>
      <c r="R67" s="80">
        <f t="shared" si="56"/>
        <v>0</v>
      </c>
      <c r="S67" s="14">
        <f t="shared" si="56"/>
        <v>0</v>
      </c>
      <c r="T67" s="80">
        <f>SUM(R67+S67)</f>
        <v>0</v>
      </c>
    </row>
    <row r="68" spans="1:22" ht="13" x14ac:dyDescent="0.3">
      <c r="A68" s="36"/>
      <c r="B68" s="36"/>
      <c r="C68" s="82">
        <v>2</v>
      </c>
      <c r="D68" s="86"/>
      <c r="E68" s="86"/>
      <c r="F68" s="77"/>
      <c r="G68" s="59"/>
      <c r="H68" s="78"/>
      <c r="I68" s="53"/>
      <c r="J68" s="78"/>
      <c r="K68" s="53"/>
      <c r="L68" s="78"/>
      <c r="M68" s="53"/>
      <c r="N68" s="78"/>
      <c r="O68" s="53"/>
      <c r="P68" s="85"/>
      <c r="Q68" s="53"/>
      <c r="R68" s="80">
        <f t="shared" si="56"/>
        <v>0</v>
      </c>
      <c r="S68" s="14">
        <f t="shared" si="56"/>
        <v>0</v>
      </c>
      <c r="T68" s="80">
        <f>SUM(R68+S68)</f>
        <v>0</v>
      </c>
    </row>
    <row r="69" spans="1:22" x14ac:dyDescent="0.25">
      <c r="A69" s="36"/>
      <c r="B69" s="36"/>
      <c r="C69" s="54"/>
      <c r="D69" s="36"/>
      <c r="E69" s="36"/>
      <c r="F69" s="36"/>
      <c r="G69" s="36"/>
      <c r="H69" s="39"/>
      <c r="I69" s="39"/>
      <c r="J69" s="39"/>
      <c r="K69" s="39"/>
      <c r="L69" s="39"/>
      <c r="M69" s="39"/>
      <c r="N69" s="39"/>
      <c r="O69" s="39"/>
      <c r="P69" s="39"/>
      <c r="Q69" s="39"/>
      <c r="R69" s="20"/>
      <c r="S69" s="20"/>
      <c r="T69" s="20"/>
    </row>
    <row r="70" spans="1:22" ht="15.5" x14ac:dyDescent="0.35">
      <c r="A70" s="44" t="s">
        <v>66</v>
      </c>
      <c r="B70" s="25"/>
      <c r="C70" s="43" t="s">
        <v>67</v>
      </c>
      <c r="D70" s="28"/>
      <c r="E70" s="28"/>
      <c r="F70" s="28"/>
      <c r="G70" s="28"/>
      <c r="H70" s="30">
        <f t="shared" ref="H70:Q70" si="57">SUM(H71:H72)</f>
        <v>3714</v>
      </c>
      <c r="I70" s="31">
        <f t="shared" si="57"/>
        <v>0</v>
      </c>
      <c r="J70" s="30">
        <f t="shared" si="57"/>
        <v>3786</v>
      </c>
      <c r="K70" s="31">
        <f t="shared" si="57"/>
        <v>0</v>
      </c>
      <c r="L70" s="30">
        <f t="shared" si="57"/>
        <v>0</v>
      </c>
      <c r="M70" s="31">
        <f t="shared" si="57"/>
        <v>0</v>
      </c>
      <c r="N70" s="30">
        <f t="shared" si="57"/>
        <v>0</v>
      </c>
      <c r="O70" s="32">
        <f t="shared" si="57"/>
        <v>0</v>
      </c>
      <c r="P70" s="33">
        <f t="shared" si="57"/>
        <v>0</v>
      </c>
      <c r="Q70" s="32">
        <f t="shared" si="57"/>
        <v>0</v>
      </c>
      <c r="R70" s="12">
        <f t="shared" ref="R70:S72" si="58">SUM(H70+J70+L70+N70+P70)</f>
        <v>7500</v>
      </c>
      <c r="S70" s="13">
        <f t="shared" si="58"/>
        <v>0</v>
      </c>
      <c r="T70" s="12">
        <f>SUM(R70+S70)</f>
        <v>7500</v>
      </c>
    </row>
    <row r="71" spans="1:22" ht="15.5" x14ac:dyDescent="0.35">
      <c r="A71" s="44"/>
      <c r="B71" s="23"/>
      <c r="C71" s="82" t="s">
        <v>68</v>
      </c>
      <c r="D71" s="428"/>
      <c r="E71" s="428"/>
      <c r="F71" s="428"/>
      <c r="G71" s="429"/>
      <c r="H71" s="78">
        <f>Yr1TravelDom</f>
        <v>3714</v>
      </c>
      <c r="I71" s="21"/>
      <c r="J71" s="78">
        <f>Yr2TravelDom</f>
        <v>3786</v>
      </c>
      <c r="K71" s="21"/>
      <c r="L71" s="78">
        <f>Yr3TravelDom</f>
        <v>0</v>
      </c>
      <c r="M71" s="21"/>
      <c r="N71" s="78">
        <f>Yr4TravelDom</f>
        <v>0</v>
      </c>
      <c r="O71" s="22"/>
      <c r="P71" s="79">
        <f>Yr5TravelDom</f>
        <v>0</v>
      </c>
      <c r="Q71" s="22"/>
      <c r="R71" s="80">
        <f t="shared" si="58"/>
        <v>7500</v>
      </c>
      <c r="S71" s="14">
        <f t="shared" si="58"/>
        <v>0</v>
      </c>
      <c r="T71" s="80">
        <f>SUM(R71+S71)</f>
        <v>7500</v>
      </c>
    </row>
    <row r="72" spans="1:22" x14ac:dyDescent="0.25">
      <c r="A72" s="23"/>
      <c r="B72" s="23"/>
      <c r="C72" s="82" t="s">
        <v>69</v>
      </c>
      <c r="D72" s="428"/>
      <c r="E72" s="428"/>
      <c r="F72" s="428"/>
      <c r="G72" s="429"/>
      <c r="H72" s="78">
        <f>Yr1TravelIntl</f>
        <v>0</v>
      </c>
      <c r="I72" s="21"/>
      <c r="J72" s="78">
        <f>Yr2TravelIntl</f>
        <v>0</v>
      </c>
      <c r="K72" s="21"/>
      <c r="L72" s="78">
        <f>Yr3TravelIntl</f>
        <v>0</v>
      </c>
      <c r="M72" s="21"/>
      <c r="N72" s="78">
        <f>Yr4TravelIntl</f>
        <v>0</v>
      </c>
      <c r="O72" s="22"/>
      <c r="P72" s="79">
        <f>Yr5TravelIntl</f>
        <v>0</v>
      </c>
      <c r="Q72" s="22"/>
      <c r="R72" s="80">
        <f t="shared" si="58"/>
        <v>0</v>
      </c>
      <c r="S72" s="14">
        <f t="shared" si="58"/>
        <v>0</v>
      </c>
      <c r="T72" s="80">
        <f>SUM(R72+S72)</f>
        <v>0</v>
      </c>
    </row>
    <row r="73" spans="1:22" x14ac:dyDescent="0.25">
      <c r="A73" s="23"/>
      <c r="B73" s="23"/>
      <c r="C73" s="35"/>
      <c r="D73" s="41"/>
      <c r="E73" s="41"/>
      <c r="F73" s="41"/>
      <c r="G73" s="41"/>
      <c r="H73" s="213"/>
      <c r="I73" s="213"/>
      <c r="J73" s="213"/>
      <c r="K73" s="213"/>
      <c r="L73" s="213"/>
      <c r="M73" s="213"/>
      <c r="N73" s="213"/>
      <c r="O73" s="213"/>
      <c r="P73" s="213"/>
      <c r="Q73" s="213"/>
      <c r="R73" s="214"/>
      <c r="S73" s="214"/>
      <c r="T73" s="214"/>
    </row>
    <row r="74" spans="1:22" ht="15.5" x14ac:dyDescent="0.35">
      <c r="A74" s="44" t="s">
        <v>70</v>
      </c>
      <c r="B74" s="23"/>
      <c r="C74" s="377" t="s">
        <v>71</v>
      </c>
      <c r="D74" s="432" t="s">
        <v>72</v>
      </c>
      <c r="E74" s="432"/>
      <c r="F74" s="432"/>
      <c r="G74" s="433"/>
      <c r="H74" s="30">
        <f t="shared" ref="H74:Q74" si="59">SUM(H75:H78)</f>
        <v>0</v>
      </c>
      <c r="I74" s="31">
        <f t="shared" si="59"/>
        <v>0</v>
      </c>
      <c r="J74" s="30">
        <f t="shared" si="59"/>
        <v>0</v>
      </c>
      <c r="K74" s="31">
        <f t="shared" si="59"/>
        <v>0</v>
      </c>
      <c r="L74" s="30">
        <f t="shared" si="59"/>
        <v>0</v>
      </c>
      <c r="M74" s="31">
        <f t="shared" si="59"/>
        <v>0</v>
      </c>
      <c r="N74" s="30">
        <f t="shared" si="59"/>
        <v>0</v>
      </c>
      <c r="O74" s="31">
        <f t="shared" si="59"/>
        <v>0</v>
      </c>
      <c r="P74" s="33">
        <f t="shared" si="59"/>
        <v>0</v>
      </c>
      <c r="Q74" s="31">
        <f t="shared" si="59"/>
        <v>0</v>
      </c>
      <c r="R74" s="12">
        <f>SUM(H74+J74+L74+N74+P74)</f>
        <v>0</v>
      </c>
      <c r="S74" s="13">
        <f>SUM(I74+K74+M74+O74+Q74)</f>
        <v>0</v>
      </c>
      <c r="T74" s="12">
        <f>SUM(R74+S74)</f>
        <v>0</v>
      </c>
    </row>
    <row r="75" spans="1:22" x14ac:dyDescent="0.25">
      <c r="A75" s="23"/>
      <c r="B75" s="23"/>
      <c r="C75" s="82" t="s">
        <v>73</v>
      </c>
      <c r="D75" s="428"/>
      <c r="E75" s="428"/>
      <c r="F75" s="428"/>
      <c r="G75" s="429"/>
      <c r="H75" s="78">
        <v>0</v>
      </c>
      <c r="I75" s="21"/>
      <c r="J75" s="78">
        <v>0</v>
      </c>
      <c r="K75" s="21"/>
      <c r="L75" s="78">
        <v>0</v>
      </c>
      <c r="M75" s="21"/>
      <c r="N75" s="78">
        <v>0</v>
      </c>
      <c r="O75" s="22"/>
      <c r="P75" s="79">
        <v>0</v>
      </c>
      <c r="Q75" s="22"/>
      <c r="R75" s="80">
        <f t="shared" ref="R75:S78" si="60">SUM(H75+J75+L75+N75+P75)</f>
        <v>0</v>
      </c>
      <c r="S75" s="14">
        <f t="shared" si="60"/>
        <v>0</v>
      </c>
      <c r="T75" s="80">
        <f>SUM(R75+S75)</f>
        <v>0</v>
      </c>
    </row>
    <row r="76" spans="1:22" x14ac:dyDescent="0.25">
      <c r="A76" s="23"/>
      <c r="B76" s="23"/>
      <c r="C76" s="87" t="s">
        <v>74</v>
      </c>
      <c r="D76" s="428"/>
      <c r="E76" s="428"/>
      <c r="F76" s="428"/>
      <c r="G76" s="429"/>
      <c r="H76" s="78">
        <v>0</v>
      </c>
      <c r="I76" s="21"/>
      <c r="J76" s="78">
        <v>0</v>
      </c>
      <c r="K76" s="21"/>
      <c r="L76" s="78">
        <v>0</v>
      </c>
      <c r="M76" s="21"/>
      <c r="N76" s="78">
        <v>0</v>
      </c>
      <c r="O76" s="22"/>
      <c r="P76" s="79">
        <v>0</v>
      </c>
      <c r="Q76" s="22"/>
      <c r="R76" s="80">
        <f t="shared" si="60"/>
        <v>0</v>
      </c>
      <c r="S76" s="14">
        <f t="shared" si="60"/>
        <v>0</v>
      </c>
      <c r="T76" s="80">
        <f>SUM(R76+S76)</f>
        <v>0</v>
      </c>
    </row>
    <row r="77" spans="1:22" x14ac:dyDescent="0.25">
      <c r="A77" s="23"/>
      <c r="B77" s="23"/>
      <c r="C77" s="87" t="s">
        <v>75</v>
      </c>
      <c r="D77" s="428"/>
      <c r="E77" s="428"/>
      <c r="F77" s="428"/>
      <c r="G77" s="429"/>
      <c r="H77" s="78">
        <v>0</v>
      </c>
      <c r="I77" s="21"/>
      <c r="J77" s="78">
        <v>0</v>
      </c>
      <c r="K77" s="21"/>
      <c r="L77" s="78">
        <v>0</v>
      </c>
      <c r="M77" s="21"/>
      <c r="N77" s="78">
        <v>0</v>
      </c>
      <c r="O77" s="22"/>
      <c r="P77" s="79">
        <v>0</v>
      </c>
      <c r="Q77" s="22"/>
      <c r="R77" s="80">
        <f t="shared" si="60"/>
        <v>0</v>
      </c>
      <c r="S77" s="14">
        <f t="shared" si="60"/>
        <v>0</v>
      </c>
      <c r="T77" s="80">
        <f>SUM(R77+S77)</f>
        <v>0</v>
      </c>
    </row>
    <row r="78" spans="1:22" x14ac:dyDescent="0.25">
      <c r="A78" s="23"/>
      <c r="B78" s="23"/>
      <c r="C78" s="82" t="s">
        <v>76</v>
      </c>
      <c r="D78" s="401"/>
      <c r="E78" s="401"/>
      <c r="F78" s="401"/>
      <c r="G78" s="401"/>
      <c r="H78" s="78">
        <v>0</v>
      </c>
      <c r="I78" s="21"/>
      <c r="J78" s="78">
        <v>0</v>
      </c>
      <c r="K78" s="21"/>
      <c r="L78" s="78">
        <v>0</v>
      </c>
      <c r="M78" s="21"/>
      <c r="N78" s="78">
        <v>0</v>
      </c>
      <c r="O78" s="22"/>
      <c r="P78" s="79">
        <v>0</v>
      </c>
      <c r="Q78" s="22"/>
      <c r="R78" s="80">
        <f t="shared" si="60"/>
        <v>0</v>
      </c>
      <c r="S78" s="14">
        <f t="shared" si="60"/>
        <v>0</v>
      </c>
      <c r="T78" s="80">
        <f>SUM(R78+S78)</f>
        <v>0</v>
      </c>
    </row>
    <row r="79" spans="1:22" x14ac:dyDescent="0.25">
      <c r="A79" s="36"/>
      <c r="B79" s="36"/>
      <c r="C79" s="54"/>
      <c r="D79" s="36"/>
      <c r="E79" s="36"/>
      <c r="F79" s="36"/>
      <c r="G79" s="36"/>
      <c r="H79" s="39"/>
      <c r="I79" s="39"/>
      <c r="J79" s="39"/>
      <c r="K79" s="39"/>
      <c r="L79" s="39"/>
      <c r="M79" s="39"/>
      <c r="N79" s="39"/>
      <c r="O79" s="39"/>
      <c r="P79" s="39"/>
      <c r="Q79" s="39"/>
      <c r="R79" s="20"/>
      <c r="S79" s="20"/>
      <c r="T79" s="20"/>
    </row>
    <row r="80" spans="1:22" ht="15.5" x14ac:dyDescent="0.35">
      <c r="A80" s="44" t="s">
        <v>77</v>
      </c>
      <c r="B80" s="25"/>
      <c r="C80" s="43" t="s">
        <v>78</v>
      </c>
      <c r="D80" s="28"/>
      <c r="E80" s="28"/>
      <c r="F80" s="28"/>
      <c r="G80" s="28"/>
      <c r="H80" s="30">
        <f t="shared" ref="H80:Q80" si="61">SUM(H81:H97)</f>
        <v>10423.200000000001</v>
      </c>
      <c r="I80" s="31">
        <f t="shared" si="61"/>
        <v>0</v>
      </c>
      <c r="J80" s="30">
        <f t="shared" si="61"/>
        <v>12253.2</v>
      </c>
      <c r="K80" s="31">
        <f t="shared" si="61"/>
        <v>0</v>
      </c>
      <c r="L80" s="30">
        <f t="shared" si="61"/>
        <v>0</v>
      </c>
      <c r="M80" s="31">
        <f t="shared" si="61"/>
        <v>0</v>
      </c>
      <c r="N80" s="30">
        <f t="shared" si="61"/>
        <v>0</v>
      </c>
      <c r="O80" s="31">
        <f t="shared" si="61"/>
        <v>0</v>
      </c>
      <c r="P80" s="33">
        <f t="shared" si="61"/>
        <v>0</v>
      </c>
      <c r="Q80" s="31">
        <f t="shared" si="61"/>
        <v>0</v>
      </c>
      <c r="R80" s="12">
        <f>SUM(H80+J80+L80+N80+P80)</f>
        <v>22676.400000000001</v>
      </c>
      <c r="S80" s="13">
        <f>SUM(I80+K80+M80+O80+Q80)</f>
        <v>0</v>
      </c>
      <c r="T80" s="12">
        <f>SUM(R80+S80)</f>
        <v>22676.400000000001</v>
      </c>
    </row>
    <row r="81" spans="1:20" x14ac:dyDescent="0.25">
      <c r="A81" s="23"/>
      <c r="B81" s="23">
        <v>1</v>
      </c>
      <c r="C81" s="87" t="s">
        <v>79</v>
      </c>
      <c r="D81" s="59"/>
      <c r="E81" s="59"/>
      <c r="F81" s="59"/>
      <c r="G81" s="59"/>
      <c r="H81" s="78">
        <v>98.2</v>
      </c>
      <c r="I81" s="21">
        <v>0</v>
      </c>
      <c r="J81" s="78">
        <f>H81</f>
        <v>98.2</v>
      </c>
      <c r="K81" s="21"/>
      <c r="L81" s="78">
        <v>0</v>
      </c>
      <c r="M81" s="21"/>
      <c r="N81" s="78">
        <v>0</v>
      </c>
      <c r="O81" s="22"/>
      <c r="P81" s="79">
        <v>0</v>
      </c>
      <c r="Q81" s="22"/>
      <c r="R81" s="80">
        <f t="shared" ref="R81:S97" si="62">SUM(H81+J81+L81+N81+P81)</f>
        <v>196.4</v>
      </c>
      <c r="S81" s="14">
        <f t="shared" si="62"/>
        <v>0</v>
      </c>
      <c r="T81" s="80">
        <f t="shared" ref="T81:T97" si="63">SUM(R81+S81)</f>
        <v>196.4</v>
      </c>
    </row>
    <row r="82" spans="1:20" x14ac:dyDescent="0.25">
      <c r="A82" s="23"/>
      <c r="B82" s="23">
        <v>2</v>
      </c>
      <c r="C82" s="87" t="s">
        <v>80</v>
      </c>
      <c r="D82" s="59"/>
      <c r="E82" s="59"/>
      <c r="F82" s="59"/>
      <c r="G82" s="59"/>
      <c r="H82" s="78">
        <v>0</v>
      </c>
      <c r="I82" s="21"/>
      <c r="J82" s="78">
        <v>1500</v>
      </c>
      <c r="K82" s="21"/>
      <c r="L82" s="78">
        <v>0</v>
      </c>
      <c r="M82" s="21"/>
      <c r="N82" s="78">
        <v>0</v>
      </c>
      <c r="O82" s="22"/>
      <c r="P82" s="79">
        <v>0</v>
      </c>
      <c r="Q82" s="22"/>
      <c r="R82" s="80">
        <f t="shared" si="62"/>
        <v>1500</v>
      </c>
      <c r="S82" s="14">
        <f t="shared" si="62"/>
        <v>0</v>
      </c>
      <c r="T82" s="80">
        <f t="shared" si="63"/>
        <v>1500</v>
      </c>
    </row>
    <row r="83" spans="1:20" x14ac:dyDescent="0.25">
      <c r="A83" s="23"/>
      <c r="B83" s="23">
        <v>3</v>
      </c>
      <c r="C83" s="82" t="s">
        <v>81</v>
      </c>
      <c r="D83" s="59"/>
      <c r="E83" s="59"/>
      <c r="F83" s="59"/>
      <c r="G83" s="59"/>
      <c r="H83" s="78">
        <v>250</v>
      </c>
      <c r="I83" s="21"/>
      <c r="J83" s="78">
        <f t="shared" ref="J83:J85" si="64">H83</f>
        <v>250</v>
      </c>
      <c r="K83" s="21"/>
      <c r="L83" s="78">
        <v>0</v>
      </c>
      <c r="M83" s="21"/>
      <c r="N83" s="78">
        <v>0</v>
      </c>
      <c r="O83" s="22"/>
      <c r="P83" s="79">
        <v>0</v>
      </c>
      <c r="Q83" s="22"/>
      <c r="R83" s="80">
        <f>SUM(H83+J83+L83+N83+P83)</f>
        <v>500</v>
      </c>
      <c r="S83" s="14">
        <f>SUM(I83+K83+M83+O83+Q83)</f>
        <v>0</v>
      </c>
      <c r="T83" s="80">
        <f>SUM(R83+S83)</f>
        <v>500</v>
      </c>
    </row>
    <row r="84" spans="1:20" x14ac:dyDescent="0.25">
      <c r="A84" s="23"/>
      <c r="B84" s="23">
        <v>3</v>
      </c>
      <c r="C84" s="87" t="s">
        <v>82</v>
      </c>
      <c r="D84" s="59"/>
      <c r="E84" s="59"/>
      <c r="F84" s="59"/>
      <c r="G84" s="59"/>
      <c r="H84" s="78">
        <v>325</v>
      </c>
      <c r="I84" s="21"/>
      <c r="J84" s="78">
        <v>325</v>
      </c>
      <c r="K84" s="21"/>
      <c r="L84" s="78">
        <v>0</v>
      </c>
      <c r="M84" s="21"/>
      <c r="N84" s="78">
        <v>0</v>
      </c>
      <c r="O84" s="22"/>
      <c r="P84" s="79">
        <v>0</v>
      </c>
      <c r="Q84" s="22"/>
      <c r="R84" s="80">
        <f t="shared" si="62"/>
        <v>650</v>
      </c>
      <c r="S84" s="14">
        <f t="shared" si="62"/>
        <v>0</v>
      </c>
      <c r="T84" s="80">
        <f t="shared" si="63"/>
        <v>650</v>
      </c>
    </row>
    <row r="85" spans="1:20" x14ac:dyDescent="0.25">
      <c r="A85" s="23"/>
      <c r="B85" s="23">
        <v>4</v>
      </c>
      <c r="C85" s="87" t="s">
        <v>83</v>
      </c>
      <c r="D85" s="59"/>
      <c r="E85" s="59"/>
      <c r="F85" s="59"/>
      <c r="G85" s="59"/>
      <c r="H85" s="78">
        <v>0</v>
      </c>
      <c r="I85" s="21"/>
      <c r="J85" s="78">
        <f t="shared" si="64"/>
        <v>0</v>
      </c>
      <c r="K85" s="21"/>
      <c r="L85" s="78">
        <v>0</v>
      </c>
      <c r="M85" s="21"/>
      <c r="N85" s="78">
        <v>0</v>
      </c>
      <c r="O85" s="22"/>
      <c r="P85" s="79">
        <v>0</v>
      </c>
      <c r="Q85" s="22"/>
      <c r="R85" s="80">
        <f t="shared" si="62"/>
        <v>0</v>
      </c>
      <c r="S85" s="14">
        <f t="shared" si="62"/>
        <v>0</v>
      </c>
      <c r="T85" s="80">
        <f t="shared" si="63"/>
        <v>0</v>
      </c>
    </row>
    <row r="86" spans="1:20" x14ac:dyDescent="0.25">
      <c r="A86" s="23"/>
      <c r="B86" s="23">
        <v>4</v>
      </c>
      <c r="C86" s="82" t="s">
        <v>84</v>
      </c>
      <c r="D86" s="59"/>
      <c r="E86" s="59"/>
      <c r="F86" s="59"/>
      <c r="G86" s="59"/>
      <c r="H86" s="78">
        <v>0</v>
      </c>
      <c r="I86" s="21"/>
      <c r="J86" s="78">
        <v>0</v>
      </c>
      <c r="K86" s="21"/>
      <c r="L86" s="78">
        <v>0</v>
      </c>
      <c r="M86" s="21"/>
      <c r="N86" s="78">
        <v>0</v>
      </c>
      <c r="O86" s="22"/>
      <c r="P86" s="79">
        <v>0</v>
      </c>
      <c r="Q86" s="22"/>
      <c r="R86" s="80">
        <f>SUM(H86+J86+L86+N86+P86)</f>
        <v>0</v>
      </c>
      <c r="S86" s="14">
        <f>SUM(I86+K86+M86+O86+Q86)</f>
        <v>0</v>
      </c>
      <c r="T86" s="80">
        <f>SUM(R86+S86)</f>
        <v>0</v>
      </c>
    </row>
    <row r="87" spans="1:20" ht="13" x14ac:dyDescent="0.3">
      <c r="A87" s="23"/>
      <c r="B87" s="23">
        <v>5</v>
      </c>
      <c r="C87" s="82" t="s">
        <v>85</v>
      </c>
      <c r="D87" s="59"/>
      <c r="E87" s="88" t="s">
        <v>86</v>
      </c>
      <c r="F87" s="59"/>
      <c r="G87" s="59"/>
      <c r="H87" s="78">
        <v>0</v>
      </c>
      <c r="I87" s="21"/>
      <c r="J87" s="78">
        <v>0</v>
      </c>
      <c r="K87" s="21"/>
      <c r="L87" s="78">
        <v>0</v>
      </c>
      <c r="M87" s="21"/>
      <c r="N87" s="78">
        <v>0</v>
      </c>
      <c r="O87" s="22"/>
      <c r="P87" s="79">
        <v>0</v>
      </c>
      <c r="Q87" s="22"/>
      <c r="R87" s="80">
        <f t="shared" si="62"/>
        <v>0</v>
      </c>
      <c r="S87" s="14">
        <f t="shared" si="62"/>
        <v>0</v>
      </c>
      <c r="T87" s="80">
        <f t="shared" si="63"/>
        <v>0</v>
      </c>
    </row>
    <row r="88" spans="1:20" ht="13" x14ac:dyDescent="0.3">
      <c r="A88" s="23"/>
      <c r="B88" s="23"/>
      <c r="C88" s="59" t="s">
        <v>87</v>
      </c>
      <c r="D88" s="59"/>
      <c r="E88" s="59"/>
      <c r="F88" s="88"/>
      <c r="G88" s="59"/>
      <c r="H88" s="78">
        <v>0</v>
      </c>
      <c r="I88" s="21"/>
      <c r="J88" s="78">
        <v>0</v>
      </c>
      <c r="K88" s="21"/>
      <c r="L88" s="78">
        <v>0</v>
      </c>
      <c r="M88" s="21"/>
      <c r="N88" s="78">
        <v>0</v>
      </c>
      <c r="O88" s="22"/>
      <c r="P88" s="79">
        <v>0</v>
      </c>
      <c r="Q88" s="22"/>
      <c r="R88" s="80">
        <f t="shared" si="62"/>
        <v>0</v>
      </c>
      <c r="S88" s="14">
        <f t="shared" si="62"/>
        <v>0</v>
      </c>
      <c r="T88" s="80">
        <f t="shared" si="63"/>
        <v>0</v>
      </c>
    </row>
    <row r="89" spans="1:20" ht="13" x14ac:dyDescent="0.3">
      <c r="A89" s="23"/>
      <c r="B89" s="23">
        <v>6</v>
      </c>
      <c r="C89" s="82" t="s">
        <v>88</v>
      </c>
      <c r="D89" s="59"/>
      <c r="E89" s="88" t="s">
        <v>86</v>
      </c>
      <c r="F89" s="60"/>
      <c r="G89" s="59"/>
      <c r="H89" s="78">
        <v>0</v>
      </c>
      <c r="I89" s="21"/>
      <c r="J89" s="78">
        <v>0</v>
      </c>
      <c r="K89" s="21"/>
      <c r="L89" s="78">
        <v>0</v>
      </c>
      <c r="M89" s="21"/>
      <c r="N89" s="78">
        <v>0</v>
      </c>
      <c r="O89" s="22"/>
      <c r="P89" s="79">
        <v>0</v>
      </c>
      <c r="Q89" s="22"/>
      <c r="R89" s="80">
        <f t="shared" si="62"/>
        <v>0</v>
      </c>
      <c r="S89" s="14">
        <f t="shared" si="62"/>
        <v>0</v>
      </c>
      <c r="T89" s="80">
        <f t="shared" si="63"/>
        <v>0</v>
      </c>
    </row>
    <row r="90" spans="1:20" ht="13" x14ac:dyDescent="0.3">
      <c r="A90" s="23"/>
      <c r="B90" s="23"/>
      <c r="C90" s="59" t="s">
        <v>87</v>
      </c>
      <c r="D90" s="59"/>
      <c r="E90" s="59"/>
      <c r="F90" s="88"/>
      <c r="G90" s="59"/>
      <c r="H90" s="78">
        <v>0</v>
      </c>
      <c r="I90" s="21"/>
      <c r="J90" s="78">
        <v>0</v>
      </c>
      <c r="K90" s="21"/>
      <c r="L90" s="78">
        <v>0</v>
      </c>
      <c r="M90" s="21"/>
      <c r="N90" s="78">
        <v>0</v>
      </c>
      <c r="O90" s="22"/>
      <c r="P90" s="79">
        <v>0</v>
      </c>
      <c r="Q90" s="22"/>
      <c r="R90" s="80">
        <f t="shared" si="62"/>
        <v>0</v>
      </c>
      <c r="S90" s="14">
        <f t="shared" si="62"/>
        <v>0</v>
      </c>
      <c r="T90" s="80">
        <f t="shared" si="63"/>
        <v>0</v>
      </c>
    </row>
    <row r="91" spans="1:20" ht="13" customHeight="1" x14ac:dyDescent="0.3">
      <c r="A91" s="23"/>
      <c r="B91" s="23">
        <v>7</v>
      </c>
      <c r="C91" s="82" t="s">
        <v>89</v>
      </c>
      <c r="D91" s="434" t="s">
        <v>90</v>
      </c>
      <c r="E91" s="434"/>
      <c r="F91" s="378" t="s">
        <v>91</v>
      </c>
      <c r="H91" s="80">
        <f>Tuition!K6</f>
        <v>0</v>
      </c>
      <c r="I91" s="21"/>
      <c r="J91" s="80">
        <f>Tuition!M6</f>
        <v>0</v>
      </c>
      <c r="K91" s="21"/>
      <c r="L91" s="80">
        <f>Tuition!O6</f>
        <v>0</v>
      </c>
      <c r="M91" s="21"/>
      <c r="N91" s="80">
        <f>Tuition!Q6</f>
        <v>0</v>
      </c>
      <c r="O91" s="22"/>
      <c r="P91" s="90">
        <f>Tuition!S6</f>
        <v>0</v>
      </c>
      <c r="Q91" s="22"/>
      <c r="R91" s="80">
        <f t="shared" si="62"/>
        <v>0</v>
      </c>
      <c r="S91" s="14">
        <f t="shared" si="62"/>
        <v>0</v>
      </c>
      <c r="T91" s="80">
        <f t="shared" si="63"/>
        <v>0</v>
      </c>
    </row>
    <row r="92" spans="1:20" ht="13" customHeight="1" x14ac:dyDescent="0.3">
      <c r="A92" s="23"/>
      <c r="B92" s="23">
        <v>8</v>
      </c>
      <c r="C92" s="82" t="s">
        <v>92</v>
      </c>
      <c r="D92" s="434"/>
      <c r="E92" s="434"/>
      <c r="F92" s="378" t="s">
        <v>91</v>
      </c>
      <c r="H92" s="80">
        <f>Tuition!K26</f>
        <v>0</v>
      </c>
      <c r="I92" s="21"/>
      <c r="J92" s="80">
        <f>Tuition!M26</f>
        <v>0</v>
      </c>
      <c r="K92" s="21"/>
      <c r="L92" s="80">
        <f>Tuition!O26</f>
        <v>0</v>
      </c>
      <c r="M92" s="21"/>
      <c r="N92" s="80">
        <f>Tuition!Q26</f>
        <v>0</v>
      </c>
      <c r="O92" s="22"/>
      <c r="P92" s="90">
        <f>Tuition!S26</f>
        <v>0</v>
      </c>
      <c r="Q92" s="22"/>
      <c r="R92" s="80">
        <f t="shared" si="62"/>
        <v>0</v>
      </c>
      <c r="S92" s="14">
        <f t="shared" si="62"/>
        <v>0</v>
      </c>
      <c r="T92" s="80">
        <f t="shared" si="63"/>
        <v>0</v>
      </c>
    </row>
    <row r="93" spans="1:20" ht="13" customHeight="1" x14ac:dyDescent="0.3">
      <c r="A93" s="23"/>
      <c r="B93" s="23">
        <v>8</v>
      </c>
      <c r="C93" s="82" t="s">
        <v>93</v>
      </c>
      <c r="D93" s="434"/>
      <c r="E93" s="434"/>
      <c r="F93" s="378" t="s">
        <v>91</v>
      </c>
      <c r="G93"/>
      <c r="H93" s="80">
        <f>Tuition!K46</f>
        <v>7854</v>
      </c>
      <c r="I93" s="21"/>
      <c r="J93" s="80">
        <f>Tuition!M46</f>
        <v>8184</v>
      </c>
      <c r="K93" s="21"/>
      <c r="L93" s="80">
        <f>Tuition!O46</f>
        <v>0</v>
      </c>
      <c r="M93" s="21"/>
      <c r="N93" s="80">
        <f>Tuition!Q46</f>
        <v>0</v>
      </c>
      <c r="O93" s="22"/>
      <c r="P93" s="90">
        <f>Tuition!S46</f>
        <v>0</v>
      </c>
      <c r="Q93" s="22"/>
      <c r="R93" s="80">
        <f>SUM(H93+J93+L93+N93+P93)</f>
        <v>16038</v>
      </c>
      <c r="S93" s="14">
        <f>SUM(I93+K93+M93+O93+Q93)</f>
        <v>0</v>
      </c>
      <c r="T93" s="80">
        <f>SUM(R93+S93)</f>
        <v>16038</v>
      </c>
    </row>
    <row r="94" spans="1:20" ht="13" customHeight="1" x14ac:dyDescent="0.3">
      <c r="A94" s="23"/>
      <c r="B94" s="23"/>
      <c r="C94" s="82" t="s">
        <v>94</v>
      </c>
      <c r="D94" s="434"/>
      <c r="E94" s="434"/>
      <c r="F94" s="378" t="s">
        <v>91</v>
      </c>
      <c r="G94"/>
      <c r="H94" s="80">
        <f>Tuition!K67</f>
        <v>0</v>
      </c>
      <c r="I94" s="21"/>
      <c r="J94" s="80">
        <f>Tuition!M67</f>
        <v>0</v>
      </c>
      <c r="K94" s="21"/>
      <c r="L94" s="80">
        <f>Tuition!O67</f>
        <v>0</v>
      </c>
      <c r="M94" s="21"/>
      <c r="N94" s="80">
        <f>Tuition!Q67</f>
        <v>0</v>
      </c>
      <c r="O94" s="22"/>
      <c r="P94" s="90">
        <f>Tuition!S67</f>
        <v>0</v>
      </c>
      <c r="Q94" s="22"/>
      <c r="R94" s="80">
        <f>H94+J94+L94+N94+P94</f>
        <v>0</v>
      </c>
      <c r="S94" s="14">
        <f t="shared" ref="S94:S95" si="65">SUM(I94+K94+M94+O94+Q94)</f>
        <v>0</v>
      </c>
      <c r="T94" s="80">
        <f t="shared" ref="T94:T95" si="66">SUM(R94+S94)</f>
        <v>0</v>
      </c>
    </row>
    <row r="95" spans="1:20" ht="13" customHeight="1" x14ac:dyDescent="0.3">
      <c r="A95" s="23"/>
      <c r="B95" s="23"/>
      <c r="C95" s="82" t="s">
        <v>95</v>
      </c>
      <c r="D95" s="435" t="s">
        <v>96</v>
      </c>
      <c r="E95" s="435"/>
      <c r="F95" s="378" t="s">
        <v>91</v>
      </c>
      <c r="G95"/>
      <c r="H95" s="80">
        <f>Tuition!K88</f>
        <v>0</v>
      </c>
      <c r="I95" s="21"/>
      <c r="J95" s="80">
        <f>Tuition!M88</f>
        <v>0</v>
      </c>
      <c r="K95" s="21"/>
      <c r="L95" s="80">
        <f>Tuition!O88</f>
        <v>0</v>
      </c>
      <c r="M95" s="21"/>
      <c r="N95" s="80">
        <f>Tuition!Q88</f>
        <v>0</v>
      </c>
      <c r="O95" s="22"/>
      <c r="P95" s="90">
        <f>Tuition!S88</f>
        <v>0</v>
      </c>
      <c r="Q95" s="22"/>
      <c r="R95" s="80">
        <f>H95+J95+L95+N95+P95</f>
        <v>0</v>
      </c>
      <c r="S95" s="14">
        <f t="shared" si="65"/>
        <v>0</v>
      </c>
      <c r="T95" s="80">
        <f t="shared" si="66"/>
        <v>0</v>
      </c>
    </row>
    <row r="96" spans="1:20" x14ac:dyDescent="0.25">
      <c r="A96" s="23"/>
      <c r="B96" s="23">
        <v>9</v>
      </c>
      <c r="C96" s="82" t="s">
        <v>279</v>
      </c>
      <c r="D96" s="59"/>
      <c r="E96" s="59"/>
      <c r="F96" s="59"/>
      <c r="G96" s="89"/>
      <c r="H96" s="78">
        <v>1896</v>
      </c>
      <c r="I96" s="21"/>
      <c r="J96" s="78">
        <f>H96</f>
        <v>1896</v>
      </c>
      <c r="K96" s="21"/>
      <c r="L96" s="78">
        <v>0</v>
      </c>
      <c r="M96" s="21"/>
      <c r="N96" s="78">
        <v>0</v>
      </c>
      <c r="O96" s="22"/>
      <c r="P96" s="79">
        <v>0</v>
      </c>
      <c r="Q96" s="22"/>
      <c r="R96" s="80">
        <f>SUM(H96+J96+L96+N96+P96)</f>
        <v>3792</v>
      </c>
      <c r="S96" s="14">
        <f t="shared" si="62"/>
        <v>0</v>
      </c>
      <c r="T96" s="80">
        <f t="shared" si="63"/>
        <v>3792</v>
      </c>
    </row>
    <row r="97" spans="1:22" x14ac:dyDescent="0.25">
      <c r="A97" s="23"/>
      <c r="B97" s="23">
        <v>10</v>
      </c>
      <c r="C97" s="82" t="s">
        <v>97</v>
      </c>
      <c r="D97" s="59"/>
      <c r="E97" s="59"/>
      <c r="F97" s="59"/>
      <c r="G97" s="89"/>
      <c r="H97" s="78">
        <v>0</v>
      </c>
      <c r="I97" s="21"/>
      <c r="J97" s="78">
        <f t="shared" ref="J97" si="67">H97*0.5</f>
        <v>0</v>
      </c>
      <c r="K97" s="21"/>
      <c r="L97" s="78">
        <f t="shared" ref="L97" si="68">J97*0.5</f>
        <v>0</v>
      </c>
      <c r="M97" s="21"/>
      <c r="N97" s="78">
        <v>0</v>
      </c>
      <c r="O97" s="22"/>
      <c r="P97" s="79">
        <v>0</v>
      </c>
      <c r="Q97" s="22"/>
      <c r="R97" s="80">
        <f t="shared" si="62"/>
        <v>0</v>
      </c>
      <c r="S97" s="14">
        <f t="shared" si="62"/>
        <v>0</v>
      </c>
      <c r="T97" s="80">
        <f t="shared" si="63"/>
        <v>0</v>
      </c>
      <c r="U97" s="2"/>
      <c r="V97" s="2"/>
    </row>
    <row r="98" spans="1:22" x14ac:dyDescent="0.25">
      <c r="A98" s="36"/>
      <c r="B98" s="36"/>
      <c r="C98" s="54"/>
      <c r="D98" s="36"/>
      <c r="E98" s="36"/>
      <c r="F98" s="36"/>
      <c r="G98" s="55"/>
      <c r="H98" s="39"/>
      <c r="I98" s="39"/>
      <c r="J98" s="39"/>
      <c r="K98" s="39"/>
      <c r="L98" s="39"/>
      <c r="M98" s="39"/>
      <c r="N98" s="39"/>
      <c r="O98" s="39"/>
      <c r="P98" s="39"/>
      <c r="Q98" s="39"/>
      <c r="R98" s="20"/>
      <c r="S98" s="20"/>
      <c r="T98" s="20"/>
      <c r="U98" s="2"/>
      <c r="V98" s="2"/>
    </row>
    <row r="99" spans="1:22" ht="15.5" x14ac:dyDescent="0.35">
      <c r="A99" s="23"/>
      <c r="B99" s="23"/>
      <c r="C99" s="43" t="s">
        <v>98</v>
      </c>
      <c r="D99" s="43"/>
      <c r="E99" s="43"/>
      <c r="F99" s="56"/>
      <c r="G99" s="57"/>
      <c r="H99" s="96">
        <f>H64+H66+H70+H74+H80</f>
        <v>40644.202434799998</v>
      </c>
      <c r="I99" s="32">
        <f t="shared" ref="I99:Q99" si="69">I64+I66+I70+I74+I80</f>
        <v>0</v>
      </c>
      <c r="J99" s="96">
        <f t="shared" si="69"/>
        <v>43341.2</v>
      </c>
      <c r="K99" s="32">
        <f t="shared" si="69"/>
        <v>0</v>
      </c>
      <c r="L99" s="96">
        <f t="shared" si="69"/>
        <v>0</v>
      </c>
      <c r="M99" s="32">
        <f t="shared" si="69"/>
        <v>0</v>
      </c>
      <c r="N99" s="96">
        <f t="shared" si="69"/>
        <v>0</v>
      </c>
      <c r="O99" s="32">
        <f t="shared" si="69"/>
        <v>0</v>
      </c>
      <c r="P99" s="96">
        <f t="shared" si="69"/>
        <v>0</v>
      </c>
      <c r="Q99" s="31">
        <f t="shared" si="69"/>
        <v>0</v>
      </c>
      <c r="R99" s="99">
        <f>SUM(H99+J99+L99+N99+P99)</f>
        <v>83985.402434799995</v>
      </c>
      <c r="S99" s="13">
        <f>SUM(I99+K99+M99+O99+Q99)</f>
        <v>0</v>
      </c>
      <c r="T99" s="100">
        <f>SUM(R99+S99)</f>
        <v>83985.402434799995</v>
      </c>
      <c r="U99" s="2"/>
      <c r="V99" s="2"/>
    </row>
    <row r="100" spans="1:22" ht="15.5" x14ac:dyDescent="0.35">
      <c r="A100" s="23"/>
      <c r="B100" s="23"/>
      <c r="C100" s="43" t="s">
        <v>99</v>
      </c>
      <c r="D100" s="43"/>
      <c r="E100" s="43"/>
      <c r="F100" s="56"/>
      <c r="G100" s="57"/>
      <c r="H100" s="97">
        <f>H99-H87-H88-H89-H90</f>
        <v>40644.202434799998</v>
      </c>
      <c r="I100" s="31">
        <f>I99-I87-I88-I89-I90</f>
        <v>0</v>
      </c>
      <c r="J100" s="97">
        <f>J99-J87-J88-J89-J90</f>
        <v>43341.2</v>
      </c>
      <c r="K100" s="31">
        <f t="shared" ref="K100:Q100" si="70">K99-K87-K88-K89-K90</f>
        <v>0</v>
      </c>
      <c r="L100" s="97">
        <f t="shared" si="70"/>
        <v>0</v>
      </c>
      <c r="M100" s="31">
        <f t="shared" si="70"/>
        <v>0</v>
      </c>
      <c r="N100" s="97">
        <f>N99-N87-N88-N89-N90</f>
        <v>0</v>
      </c>
      <c r="O100" s="31">
        <f t="shared" si="70"/>
        <v>0</v>
      </c>
      <c r="P100" s="97">
        <f t="shared" si="70"/>
        <v>0</v>
      </c>
      <c r="Q100" s="31">
        <f t="shared" si="70"/>
        <v>0</v>
      </c>
      <c r="R100" s="99">
        <f>SUM(H100+J100+L100+N100+P100)</f>
        <v>83985.402434799995</v>
      </c>
      <c r="S100" s="13">
        <f>SUM(I100+K100+M100+O100+Q100)</f>
        <v>0</v>
      </c>
      <c r="T100" s="100">
        <f>SUM(R100+S100)</f>
        <v>83985.402434799995</v>
      </c>
      <c r="U100" s="2"/>
      <c r="V100" s="2"/>
    </row>
    <row r="101" spans="1:22" x14ac:dyDescent="0.25">
      <c r="A101" s="36"/>
      <c r="B101" s="36"/>
      <c r="C101" s="54"/>
      <c r="D101" s="36"/>
      <c r="E101" s="36"/>
      <c r="F101" s="36"/>
      <c r="G101" s="36"/>
      <c r="H101" s="39"/>
      <c r="I101" s="39"/>
      <c r="J101" s="39"/>
      <c r="K101" s="39"/>
      <c r="L101" s="39"/>
      <c r="M101" s="39"/>
      <c r="N101" s="39"/>
      <c r="O101" s="39"/>
      <c r="P101" s="39"/>
      <c r="Q101" s="39"/>
      <c r="R101" s="20"/>
      <c r="S101" s="20"/>
      <c r="T101" s="20"/>
      <c r="U101" s="2"/>
      <c r="V101" s="2"/>
    </row>
    <row r="102" spans="1:22" ht="15.5" x14ac:dyDescent="0.35">
      <c r="A102" s="23"/>
      <c r="B102" s="23"/>
      <c r="C102" s="43" t="s">
        <v>100</v>
      </c>
      <c r="D102" s="43"/>
      <c r="E102" s="43"/>
      <c r="F102" s="58"/>
      <c r="G102" s="26"/>
      <c r="H102" s="96">
        <f>(H99-H66-H74-H86-H88-H90-H91-H92-H93-H94-H95)</f>
        <v>32790.202434799998</v>
      </c>
      <c r="I102" s="32">
        <f t="shared" ref="I102:Q102" si="71">(I99-I66-I74-I86-I88-I90-I91-I92-I93-I94-I95)</f>
        <v>0</v>
      </c>
      <c r="J102" s="96">
        <f t="shared" si="71"/>
        <v>35157.199999999997</v>
      </c>
      <c r="K102" s="32">
        <f t="shared" si="71"/>
        <v>0</v>
      </c>
      <c r="L102" s="96">
        <f t="shared" si="71"/>
        <v>0</v>
      </c>
      <c r="M102" s="32">
        <f t="shared" si="71"/>
        <v>0</v>
      </c>
      <c r="N102" s="96">
        <f t="shared" si="71"/>
        <v>0</v>
      </c>
      <c r="O102" s="32">
        <f t="shared" si="71"/>
        <v>0</v>
      </c>
      <c r="P102" s="96">
        <f t="shared" si="71"/>
        <v>0</v>
      </c>
      <c r="Q102" s="32">
        <f t="shared" si="71"/>
        <v>0</v>
      </c>
      <c r="R102" s="99">
        <f>SUM(H102+J102+L102+N102+P102)</f>
        <v>67947.402434799995</v>
      </c>
      <c r="S102" s="13">
        <f>SUM(I102+K102+M102+O102+Q102)</f>
        <v>0</v>
      </c>
      <c r="T102" s="100">
        <f>SUM(R102+S102)</f>
        <v>67947.402434799995</v>
      </c>
    </row>
    <row r="103" spans="1:22" x14ac:dyDescent="0.25">
      <c r="A103" s="36"/>
      <c r="B103" s="36"/>
      <c r="C103" s="82" t="s">
        <v>101</v>
      </c>
      <c r="D103" s="82"/>
      <c r="E103" s="82"/>
      <c r="F103" s="82"/>
      <c r="G103" s="59"/>
      <c r="H103" s="39"/>
      <c r="I103" s="39"/>
      <c r="J103" s="39"/>
      <c r="K103" s="39"/>
      <c r="L103" s="39"/>
      <c r="M103" s="39"/>
      <c r="N103" s="39"/>
      <c r="O103" s="39"/>
      <c r="P103" s="39"/>
      <c r="Q103" s="39"/>
      <c r="R103" s="20"/>
      <c r="S103" s="20"/>
      <c r="T103" s="20"/>
    </row>
    <row r="104" spans="1:22" ht="15.5" x14ac:dyDescent="0.35">
      <c r="A104" s="36"/>
      <c r="B104" s="36"/>
      <c r="C104" s="107"/>
      <c r="D104" s="37"/>
      <c r="E104" s="37"/>
      <c r="F104" s="37"/>
      <c r="G104" s="217"/>
      <c r="H104" s="36"/>
      <c r="I104" s="38"/>
      <c r="J104" s="38"/>
      <c r="K104" s="38"/>
      <c r="L104" s="38"/>
      <c r="M104" s="38"/>
      <c r="N104" s="38"/>
      <c r="O104" s="38"/>
      <c r="P104" s="38"/>
      <c r="Q104" s="38"/>
      <c r="R104" s="20"/>
      <c r="S104" s="20"/>
      <c r="T104" s="20"/>
    </row>
    <row r="105" spans="1:22" ht="15.5" x14ac:dyDescent="0.35">
      <c r="A105" s="44" t="s">
        <v>102</v>
      </c>
      <c r="B105" s="25"/>
      <c r="C105" s="43" t="s">
        <v>103</v>
      </c>
      <c r="D105" s="28" t="s">
        <v>62</v>
      </c>
      <c r="E105" s="28"/>
      <c r="F105" s="28"/>
      <c r="G105" s="28"/>
      <c r="H105" s="97">
        <f>SUM(H106:H106)</f>
        <v>17378.807290444001</v>
      </c>
      <c r="I105" s="31">
        <f>SUM(I106:I107)</f>
        <v>0</v>
      </c>
      <c r="J105" s="97">
        <f t="shared" ref="J105:P105" si="72">SUM(J106:J106)</f>
        <v>18633.315999999999</v>
      </c>
      <c r="K105" s="31">
        <f>SUM(K106:K107)</f>
        <v>0</v>
      </c>
      <c r="L105" s="97">
        <f t="shared" si="72"/>
        <v>0</v>
      </c>
      <c r="M105" s="31">
        <f>SUM(M106:M107)</f>
        <v>0</v>
      </c>
      <c r="N105" s="97">
        <f t="shared" si="72"/>
        <v>0</v>
      </c>
      <c r="O105" s="31">
        <f>SUM(O106:O107)</f>
        <v>0</v>
      </c>
      <c r="P105" s="96">
        <f t="shared" si="72"/>
        <v>0</v>
      </c>
      <c r="Q105" s="31">
        <f>SUM(Q106:Q107)</f>
        <v>0</v>
      </c>
      <c r="R105" s="98">
        <f>SUM(H105+J105+L105+N105+P105)</f>
        <v>36012.123290443997</v>
      </c>
      <c r="S105" s="13">
        <f>SUM(I105+K105+M105+O105+Q105)</f>
        <v>0</v>
      </c>
      <c r="T105" s="98">
        <f>SUM(R105+S105)</f>
        <v>36012.123290443997</v>
      </c>
    </row>
    <row r="106" spans="1:22" ht="15.5" x14ac:dyDescent="0.35">
      <c r="A106" s="52"/>
      <c r="B106" s="36"/>
      <c r="C106" s="82" t="str">
        <f>"IDC on "&amp;G5</f>
        <v>IDC on Negotiated Rate</v>
      </c>
      <c r="D106" s="236" t="str">
        <f>IF(G5=U4,"53%",H4)</f>
        <v>53%</v>
      </c>
      <c r="E106" s="430" t="str">
        <f>"[ IDC = "&amp;G5&amp;" * Indirect Rate ]"</f>
        <v>[ IDC = Negotiated Rate * Indirect Rate ]</v>
      </c>
      <c r="F106" s="430"/>
      <c r="G106" s="431"/>
      <c r="H106" s="78">
        <f>IF($G$5=Negotiated,'F&amp;A Calculation- Sponsor Funds '!I22,IF($G$5=OtherTDC,H99*$H$4,IF($G$5=TFF_TDC,(H99-H87-H88-H89-H90)*$H$4,IF($G$5=OtherMTDC,H102*$H$4))))</f>
        <v>17378.807290444001</v>
      </c>
      <c r="I106" s="21">
        <f>IF($G$5=Negotiated,'F&amp;A Calculations - Cost Share'!I22,IF($G$5=OtherTDC,I99*$H$4,IF($G$5=TFF_TDC,(I99-I87-I88-I89-I90)*$H$4,IF($G$5=OtherMTDC,I102*$H$4))))</f>
        <v>0</v>
      </c>
      <c r="J106" s="78">
        <f>IF($G$5=Negotiated,'F&amp;A Calculation- Sponsor Funds '!I32,IF($G$5=OtherTDC,J99*$H$4,IF($G$5=TFF_TDC,(J99-J87-J88-J89-J90)*$H$4,IF($G$5=OtherMTDC,J102*$H$4))))</f>
        <v>18633.315999999999</v>
      </c>
      <c r="K106" s="21">
        <f>IF($G$5=Negotiated,'F&amp;A Calculations - Cost Share'!I32,IF($G$5=OtherTDC,K99*$H$4,IF($G$5=TFF_TDC,(K99-K87-K88-K89-K90)*$H$4,IF($G$5=OtherMTDC,K102*$H$4))))</f>
        <v>0</v>
      </c>
      <c r="L106" s="78">
        <f>IF($G$5=Negotiated,'F&amp;A Calculation- Sponsor Funds '!I42,IF($G$5=OtherTDC,L99*$H$4,IF($G$5=TFF_TDC,(L99-L87-L88-L89-L90)*$H$4,IF($G$5=OtherMTDC,L102*$H$4))))</f>
        <v>0</v>
      </c>
      <c r="M106" s="21">
        <f>IF($G$5=Negotiated,'F&amp;A Calculations - Cost Share'!I42,IF($G$5=OtherTDC,M99*$H$4,IF($G$5=TFF_TDC,(M99-M87-M88-M89-M90)*$H$4,IF($G$5=OtherMTDC,M102*$H$4))))</f>
        <v>0</v>
      </c>
      <c r="N106" s="78">
        <f>IF($G$5=Negotiated,'F&amp;A Calculation- Sponsor Funds '!I52,IF($G$5=OtherTDC,N99*$H$4,IF($G$5=TFF_TDC,(N99-N87-N88-N89-N90)*$H$4,IF($G$5=OtherMTDC,N102*$H$4))))</f>
        <v>0</v>
      </c>
      <c r="O106" s="21">
        <f>IF($G$5=Negotiated,'F&amp;A Calculations - Cost Share'!I52,IF($G$5=OtherTDC,O99*$H$4,IF($G$5=TFF_TDC,(O99-O87-O88-O89-O90)*$H$4,IF($G$5=OtherMTDC,O102*$H$4))))</f>
        <v>0</v>
      </c>
      <c r="P106" s="78">
        <f>IF($G$5=Negotiated,'F&amp;A Calculation- Sponsor Funds '!I62,IF($G$5=OtherTDC,P99*$H$4,IF($G$5=TFF_TDC,(P99-P87-P88-P89-P90)*$H$4,IF($G$5=OtherMTDC,P102*$H$4))))</f>
        <v>0</v>
      </c>
      <c r="Q106" s="21">
        <f>IF($G$5=Negotiated,'F&amp;A Calculations - Cost Share'!I62,IF($G$5=OtherTDC,Q99*$H$4,IF($G$5=TFF_TDC,(Q99-Q87-Q88-Q89-Q90)*$H$4,IF($G$5=OtherMTDC,Q102*$H$4))))</f>
        <v>0</v>
      </c>
      <c r="R106" s="98">
        <f>SUM(H106+J106+L106+N106+P106)</f>
        <v>36012.123290443997</v>
      </c>
      <c r="S106" s="13">
        <f>SUM(I106+K106+M106+O106+Q106)</f>
        <v>0</v>
      </c>
      <c r="T106" s="258">
        <f>SUM(R106+S106)</f>
        <v>36012.123290443997</v>
      </c>
    </row>
    <row r="107" spans="1:22" ht="15.5" x14ac:dyDescent="0.35">
      <c r="A107" s="52"/>
      <c r="B107" s="36"/>
      <c r="C107" s="82" t="s">
        <v>104</v>
      </c>
      <c r="D107" s="236"/>
      <c r="E107" s="401"/>
      <c r="F107" s="401"/>
      <c r="G107" s="401"/>
      <c r="H107" s="28"/>
      <c r="I107" s="21">
        <f>IF($G$6="Yes",(((H102+I102)*0.53)-H106-I106),0)</f>
        <v>0</v>
      </c>
      <c r="J107" s="28"/>
      <c r="K107" s="21">
        <f>IF($G$6="Yes",(((J102+K102)*0.53)-J106-K106),0)</f>
        <v>0</v>
      </c>
      <c r="L107" s="28"/>
      <c r="M107" s="21">
        <f>IF($G$6="Yes",(((L102+M102)*0.53)-L106-M106),0)</f>
        <v>0</v>
      </c>
      <c r="N107" s="28"/>
      <c r="O107" s="21">
        <f>IF($G$6="Yes",(((N102+O102)*0.53)-N106-O106),0)</f>
        <v>0</v>
      </c>
      <c r="P107" s="28"/>
      <c r="Q107" s="21">
        <f>IF($G$6="Yes",(((P102+Q102)*0.53)-P106-Q106),0)</f>
        <v>0</v>
      </c>
      <c r="R107" s="28"/>
      <c r="S107" s="13">
        <f>SUM(I107+K107+M107+O107+Q107)</f>
        <v>0</v>
      </c>
      <c r="T107" s="98">
        <f>S107</f>
        <v>0</v>
      </c>
    </row>
    <row r="108" spans="1:22" ht="15.5" x14ac:dyDescent="0.35">
      <c r="A108" s="52"/>
      <c r="B108" s="36"/>
      <c r="C108" s="108"/>
      <c r="D108" s="48"/>
      <c r="E108" s="48"/>
      <c r="F108" s="48"/>
      <c r="G108" s="170"/>
      <c r="H108" s="172"/>
      <c r="I108" s="172"/>
      <c r="J108" s="172"/>
      <c r="K108" s="172"/>
      <c r="L108" s="172"/>
      <c r="M108" s="172"/>
      <c r="N108" s="172"/>
      <c r="O108" s="172"/>
      <c r="P108" s="172"/>
      <c r="Q108" s="172"/>
      <c r="R108" s="20"/>
      <c r="S108" s="20"/>
      <c r="T108" s="20"/>
    </row>
    <row r="109" spans="1:22" x14ac:dyDescent="0.25">
      <c r="A109" s="36"/>
      <c r="B109" s="36"/>
      <c r="C109" s="36"/>
      <c r="D109" s="37"/>
      <c r="E109" s="37"/>
      <c r="F109" s="37"/>
      <c r="G109" s="171"/>
      <c r="H109" s="172"/>
      <c r="I109" s="172"/>
      <c r="J109" s="172"/>
      <c r="K109" s="172"/>
      <c r="L109" s="172"/>
      <c r="M109" s="172"/>
      <c r="N109" s="172"/>
      <c r="O109" s="172"/>
      <c r="P109" s="172"/>
      <c r="Q109" s="172"/>
      <c r="R109" s="20"/>
      <c r="S109" s="20"/>
      <c r="T109" s="20"/>
    </row>
    <row r="110" spans="1:22" ht="15.5" x14ac:dyDescent="0.35">
      <c r="A110" s="44" t="s">
        <v>105</v>
      </c>
      <c r="B110" s="25"/>
      <c r="C110" s="43" t="s">
        <v>106</v>
      </c>
      <c r="D110" s="28"/>
      <c r="E110" s="28"/>
      <c r="F110" s="28"/>
      <c r="G110" s="28"/>
      <c r="H110" s="97">
        <f>H99+H105</f>
        <v>58023.009725244003</v>
      </c>
      <c r="I110" s="256">
        <f t="shared" ref="I110:Q110" si="73">I99+I105</f>
        <v>0</v>
      </c>
      <c r="J110" s="97">
        <f t="shared" si="73"/>
        <v>61974.515999999996</v>
      </c>
      <c r="K110" s="256">
        <f t="shared" si="73"/>
        <v>0</v>
      </c>
      <c r="L110" s="97">
        <f t="shared" si="73"/>
        <v>0</v>
      </c>
      <c r="M110" s="256">
        <f t="shared" si="73"/>
        <v>0</v>
      </c>
      <c r="N110" s="97">
        <f t="shared" si="73"/>
        <v>0</v>
      </c>
      <c r="O110" s="256">
        <f t="shared" si="73"/>
        <v>0</v>
      </c>
      <c r="P110" s="97">
        <f t="shared" si="73"/>
        <v>0</v>
      </c>
      <c r="Q110" s="256">
        <f t="shared" si="73"/>
        <v>0</v>
      </c>
      <c r="R110" s="98">
        <f>SUM(H110+J110+L110+N110+P110)</f>
        <v>119997.52572524399</v>
      </c>
      <c r="S110" s="257">
        <f>SUM(I110+K110+M110+O110+Q110)</f>
        <v>0</v>
      </c>
      <c r="T110" s="258">
        <f>SUM(R110+S110)</f>
        <v>119997.52572524399</v>
      </c>
    </row>
    <row r="111" spans="1:22" ht="15.5" x14ac:dyDescent="0.35">
      <c r="A111" s="44"/>
      <c r="B111" s="25"/>
      <c r="C111" s="82" t="s">
        <v>107</v>
      </c>
      <c r="D111" s="60"/>
      <c r="E111" s="60"/>
      <c r="F111" s="60"/>
      <c r="G111" s="60"/>
      <c r="H111" s="28"/>
      <c r="I111" s="31"/>
      <c r="J111" s="28"/>
      <c r="K111" s="31"/>
      <c r="L111" s="28"/>
      <c r="M111" s="31"/>
      <c r="N111" s="28"/>
      <c r="O111" s="31"/>
      <c r="P111" s="28"/>
      <c r="Q111" s="31"/>
      <c r="R111" s="28"/>
      <c r="S111" s="257">
        <f t="shared" ref="S111:S113" si="74">SUM(I111+K111+M111+O111+Q111)</f>
        <v>0</v>
      </c>
      <c r="T111" s="258">
        <f>S111</f>
        <v>0</v>
      </c>
    </row>
    <row r="112" spans="1:22" ht="15.5" x14ac:dyDescent="0.35">
      <c r="A112" s="44"/>
      <c r="B112" s="25"/>
      <c r="C112" s="82" t="s">
        <v>108</v>
      </c>
      <c r="D112" s="60"/>
      <c r="E112" s="60"/>
      <c r="F112" s="60"/>
      <c r="G112" s="60"/>
      <c r="H112" s="28"/>
      <c r="I112" s="31"/>
      <c r="J112" s="28"/>
      <c r="K112" s="31"/>
      <c r="L112" s="28"/>
      <c r="M112" s="31"/>
      <c r="N112" s="28"/>
      <c r="O112" s="31"/>
      <c r="P112" s="28"/>
      <c r="Q112" s="31"/>
      <c r="R112" s="28"/>
      <c r="S112" s="257">
        <f t="shared" si="74"/>
        <v>0</v>
      </c>
      <c r="T112" s="258">
        <f>S112</f>
        <v>0</v>
      </c>
    </row>
    <row r="113" spans="1:22" ht="15.5" x14ac:dyDescent="0.35">
      <c r="A113" s="44" t="s">
        <v>109</v>
      </c>
      <c r="B113" s="25"/>
      <c r="C113" s="259" t="s">
        <v>110</v>
      </c>
      <c r="D113" s="260"/>
      <c r="E113" s="260"/>
      <c r="F113" s="260"/>
      <c r="G113" s="260"/>
      <c r="H113" s="97">
        <f>H110</f>
        <v>58023.009725244003</v>
      </c>
      <c r="I113" s="31">
        <f>SUM(I110:I112)</f>
        <v>0</v>
      </c>
      <c r="J113" s="97">
        <f>+J110</f>
        <v>61974.515999999996</v>
      </c>
      <c r="K113" s="31">
        <f>SUM(K110:K112)</f>
        <v>0</v>
      </c>
      <c r="L113" s="97">
        <f>+L110</f>
        <v>0</v>
      </c>
      <c r="M113" s="31">
        <f>SUM(M110:M112)</f>
        <v>0</v>
      </c>
      <c r="N113" s="97">
        <f>+N110</f>
        <v>0</v>
      </c>
      <c r="O113" s="31">
        <f>SUM(O110:O112)</f>
        <v>0</v>
      </c>
      <c r="P113" s="97">
        <f>+P110</f>
        <v>0</v>
      </c>
      <c r="Q113" s="31">
        <f>SUM(Q110:Q112)</f>
        <v>0</v>
      </c>
      <c r="R113" s="97">
        <f>+R110</f>
        <v>119997.52572524399</v>
      </c>
      <c r="S113" s="13">
        <f t="shared" si="74"/>
        <v>0</v>
      </c>
      <c r="T113" s="258">
        <f t="shared" ref="T113" si="75">SUM(R113+S113)</f>
        <v>119997.52572524399</v>
      </c>
    </row>
    <row r="114" spans="1:22" ht="15.5" x14ac:dyDescent="0.35">
      <c r="A114" s="44"/>
      <c r="B114" s="25"/>
      <c r="C114" s="95"/>
      <c r="D114" s="37"/>
      <c r="E114" s="37"/>
      <c r="F114" s="37"/>
      <c r="G114" s="37"/>
      <c r="H114" s="50"/>
      <c r="I114" s="50"/>
      <c r="J114" s="50"/>
      <c r="K114" s="50"/>
      <c r="L114" s="50"/>
      <c r="M114" s="50"/>
      <c r="N114" s="50"/>
      <c r="O114" s="50"/>
      <c r="P114" s="50"/>
      <c r="Q114" s="50"/>
      <c r="R114" s="28"/>
      <c r="S114" s="50"/>
      <c r="T114" s="50"/>
      <c r="U114" s="2"/>
      <c r="V114" s="2"/>
    </row>
    <row r="117" spans="1:22" x14ac:dyDescent="0.25">
      <c r="C117" s="62" t="s">
        <v>111</v>
      </c>
      <c r="D117" s="380" t="e">
        <f>#REF!</f>
        <v>#REF!</v>
      </c>
      <c r="H117" s="379"/>
    </row>
    <row r="118" spans="1:22" x14ac:dyDescent="0.25">
      <c r="C118" s="62" t="s">
        <v>112</v>
      </c>
      <c r="D118" s="380" t="e">
        <f>#REF!</f>
        <v>#REF!</v>
      </c>
    </row>
    <row r="120" spans="1:22" x14ac:dyDescent="0.25">
      <c r="C120" s="62" t="s">
        <v>113</v>
      </c>
      <c r="D120" s="62" t="e">
        <f>#REF!</f>
        <v>#REF!</v>
      </c>
    </row>
    <row r="121" spans="1:22" x14ac:dyDescent="0.25">
      <c r="H121" s="167"/>
    </row>
    <row r="122" spans="1:22" ht="13" x14ac:dyDescent="0.3">
      <c r="C122" s="399" t="s">
        <v>114</v>
      </c>
      <c r="J122" s="63"/>
      <c r="K122" s="63"/>
      <c r="L122" s="63"/>
      <c r="M122" s="63"/>
    </row>
    <row r="123" spans="1:22" ht="13" x14ac:dyDescent="0.3">
      <c r="C123" s="399"/>
      <c r="J123" s="63"/>
      <c r="K123" s="63"/>
      <c r="L123" s="63"/>
      <c r="M123" s="63"/>
      <c r="U123"/>
      <c r="V123"/>
    </row>
    <row r="124" spans="1:22" ht="13" x14ac:dyDescent="0.3">
      <c r="C124" s="427" t="s">
        <v>115</v>
      </c>
      <c r="D124" s="427"/>
      <c r="E124" s="427"/>
      <c r="F124" s="427"/>
      <c r="G124" s="427"/>
      <c r="H124" s="427"/>
      <c r="I124" s="427"/>
      <c r="J124" s="427"/>
      <c r="K124" s="427"/>
      <c r="L124" s="427"/>
      <c r="M124" s="427"/>
      <c r="N124" s="427"/>
      <c r="O124" s="427"/>
      <c r="P124" s="427"/>
      <c r="Q124" s="427"/>
      <c r="R124" s="427"/>
      <c r="U124"/>
      <c r="V124"/>
    </row>
    <row r="125" spans="1:22" ht="13" x14ac:dyDescent="0.3">
      <c r="C125" s="399"/>
      <c r="J125" s="63"/>
      <c r="K125" s="63"/>
      <c r="L125" s="63"/>
      <c r="M125" s="63"/>
      <c r="U125"/>
      <c r="V125"/>
    </row>
    <row r="126" spans="1:22" ht="12.75" customHeight="1" x14ac:dyDescent="0.3">
      <c r="C126" s="427" t="s">
        <v>116</v>
      </c>
      <c r="D126" s="427"/>
      <c r="E126" s="427"/>
      <c r="F126" s="427"/>
      <c r="G126" s="427"/>
      <c r="H126" s="427"/>
      <c r="I126" s="427"/>
      <c r="J126" s="427"/>
      <c r="K126" s="427"/>
      <c r="L126" s="427"/>
      <c r="M126" s="427"/>
      <c r="N126" s="427"/>
      <c r="O126" s="427"/>
      <c r="P126" s="427"/>
      <c r="Q126" s="427"/>
      <c r="R126" s="427"/>
      <c r="S126" s="64"/>
      <c r="T126" s="64"/>
      <c r="U126"/>
      <c r="V126"/>
    </row>
    <row r="127" spans="1:22" ht="13" x14ac:dyDescent="0.3">
      <c r="C127" s="399"/>
      <c r="J127" s="63"/>
      <c r="K127" s="63"/>
      <c r="L127" s="63"/>
      <c r="M127" s="63"/>
      <c r="U127"/>
      <c r="V127"/>
    </row>
    <row r="128" spans="1:22" x14ac:dyDescent="0.25">
      <c r="U128"/>
      <c r="V128"/>
    </row>
    <row r="129" spans="3:22" ht="13" x14ac:dyDescent="0.3">
      <c r="C129" s="399"/>
      <c r="H129" s="63"/>
      <c r="I129" s="63"/>
      <c r="U129"/>
      <c r="V129"/>
    </row>
    <row r="130" spans="3:22" ht="13" x14ac:dyDescent="0.3">
      <c r="C130" s="65"/>
      <c r="D130" s="65"/>
      <c r="E130" s="65"/>
      <c r="F130" s="65"/>
      <c r="G130" s="65"/>
      <c r="H130" s="65"/>
      <c r="I130" s="65"/>
      <c r="J130" s="65"/>
      <c r="K130" s="65"/>
      <c r="L130" s="65"/>
      <c r="M130" s="65"/>
      <c r="N130" s="65"/>
      <c r="O130" s="65"/>
      <c r="P130" s="65"/>
      <c r="Q130" s="65"/>
      <c r="R130" s="65"/>
      <c r="S130" s="65"/>
      <c r="T130" s="65"/>
      <c r="U130"/>
      <c r="V130"/>
    </row>
    <row r="131" spans="3:22" ht="13" x14ac:dyDescent="0.3">
      <c r="C131" s="399" t="s">
        <v>117</v>
      </c>
      <c r="F131" s="66" t="s">
        <v>118</v>
      </c>
      <c r="I131" s="399"/>
      <c r="J131" s="67"/>
      <c r="K131" s="66" t="s">
        <v>119</v>
      </c>
      <c r="M131" s="63"/>
      <c r="N131" s="63"/>
      <c r="O131" s="68"/>
    </row>
    <row r="132" spans="3:22" x14ac:dyDescent="0.25">
      <c r="C132" s="59" t="s">
        <v>120</v>
      </c>
      <c r="D132" s="72">
        <v>0.3</v>
      </c>
      <c r="E132" s="69"/>
      <c r="F132" s="68"/>
      <c r="G132" s="68"/>
      <c r="J132" s="68"/>
      <c r="M132" s="63"/>
      <c r="N132" s="63"/>
      <c r="O132" s="68"/>
      <c r="U132"/>
      <c r="V132"/>
    </row>
    <row r="133" spans="3:22" x14ac:dyDescent="0.25">
      <c r="C133" s="59" t="s">
        <v>121</v>
      </c>
      <c r="D133" s="72">
        <v>0.14899999999999999</v>
      </c>
      <c r="E133" s="69"/>
      <c r="F133" s="70">
        <v>0.53</v>
      </c>
      <c r="G133" s="239" t="s">
        <v>122</v>
      </c>
      <c r="H133" s="240"/>
      <c r="I133" s="241"/>
      <c r="K133" s="244"/>
      <c r="L133" s="240"/>
      <c r="M133" s="245"/>
      <c r="N133" s="246"/>
      <c r="U133"/>
      <c r="V133"/>
    </row>
    <row r="134" spans="3:22" x14ac:dyDescent="0.25">
      <c r="C134" s="59" t="s">
        <v>50</v>
      </c>
      <c r="D134" s="72">
        <v>0.33300000000000002</v>
      </c>
      <c r="E134" s="69"/>
      <c r="F134" s="71">
        <v>0.53</v>
      </c>
      <c r="G134" s="68" t="s">
        <v>123</v>
      </c>
      <c r="I134" s="242"/>
      <c r="K134" s="238"/>
      <c r="L134" s="59" t="s">
        <v>124</v>
      </c>
      <c r="M134" s="63"/>
      <c r="N134" s="247"/>
      <c r="U134"/>
      <c r="V134"/>
    </row>
    <row r="135" spans="3:22" x14ac:dyDescent="0.25">
      <c r="C135" s="59" t="s">
        <v>125</v>
      </c>
      <c r="D135" s="72">
        <v>0.40200000000000002</v>
      </c>
      <c r="E135" s="69"/>
      <c r="F135" s="71">
        <v>0.33</v>
      </c>
      <c r="G135" s="68" t="s">
        <v>126</v>
      </c>
      <c r="I135" s="242"/>
      <c r="K135" s="248"/>
      <c r="M135" s="63"/>
      <c r="N135" s="247"/>
      <c r="U135"/>
      <c r="V135"/>
    </row>
    <row r="136" spans="3:22" x14ac:dyDescent="0.25">
      <c r="C136" s="59" t="s">
        <v>127</v>
      </c>
      <c r="D136" s="72">
        <v>0.52400000000000002</v>
      </c>
      <c r="E136" s="72"/>
      <c r="F136" s="73">
        <v>0.26</v>
      </c>
      <c r="G136" s="74" t="s">
        <v>128</v>
      </c>
      <c r="H136" s="75"/>
      <c r="I136" s="243"/>
      <c r="K136" s="253">
        <f>ROUNDDOWN(K134/N136,4)</f>
        <v>0</v>
      </c>
      <c r="L136" s="59" t="s">
        <v>129</v>
      </c>
      <c r="M136" s="63"/>
      <c r="N136" s="254">
        <f>100-K134</f>
        <v>100</v>
      </c>
      <c r="U136"/>
      <c r="V136"/>
    </row>
    <row r="137" spans="3:22" x14ac:dyDescent="0.25">
      <c r="C137" s="59" t="s">
        <v>130</v>
      </c>
      <c r="D137" s="72">
        <v>1.9E-2</v>
      </c>
      <c r="E137" s="69"/>
      <c r="F137" s="252"/>
      <c r="G137" s="68"/>
      <c r="K137" s="249"/>
      <c r="L137" s="255" t="s">
        <v>131</v>
      </c>
      <c r="M137" s="250"/>
      <c r="N137" s="251"/>
      <c r="U137"/>
      <c r="V137"/>
    </row>
    <row r="138" spans="3:22" x14ac:dyDescent="0.25">
      <c r="C138" s="59" t="s">
        <v>132</v>
      </c>
      <c r="D138" s="72">
        <v>7.0999999999999994E-2</v>
      </c>
      <c r="E138" s="72"/>
      <c r="G138" s="63"/>
      <c r="H138" s="63"/>
      <c r="U138"/>
      <c r="V138"/>
    </row>
    <row r="139" spans="3:22" x14ac:dyDescent="0.25">
      <c r="C139" s="62" t="s">
        <v>133</v>
      </c>
      <c r="D139" s="69">
        <v>5.0999999999999997E-2</v>
      </c>
      <c r="U139"/>
      <c r="V139"/>
    </row>
    <row r="140" spans="3:22" x14ac:dyDescent="0.25">
      <c r="C140" s="109" t="s">
        <v>134</v>
      </c>
      <c r="D140" s="69">
        <v>8.1000000000000003E-2</v>
      </c>
      <c r="U140"/>
      <c r="V140"/>
    </row>
    <row r="141" spans="3:22" x14ac:dyDescent="0.25">
      <c r="C141" s="109" t="s">
        <v>135</v>
      </c>
      <c r="U141"/>
      <c r="V141"/>
    </row>
    <row r="142" spans="3:22" x14ac:dyDescent="0.25">
      <c r="C142"/>
      <c r="U142"/>
      <c r="V142"/>
    </row>
    <row r="143" spans="3:22" x14ac:dyDescent="0.25">
      <c r="U143"/>
      <c r="V143"/>
    </row>
    <row r="144" spans="3:22" x14ac:dyDescent="0.25">
      <c r="U144"/>
      <c r="V144"/>
    </row>
    <row r="145" spans="21:22" x14ac:dyDescent="0.25">
      <c r="U145"/>
      <c r="V145"/>
    </row>
  </sheetData>
  <mergeCells count="22">
    <mergeCell ref="C126:R126"/>
    <mergeCell ref="D71:G71"/>
    <mergeCell ref="D72:G72"/>
    <mergeCell ref="D75:G75"/>
    <mergeCell ref="C124:R124"/>
    <mergeCell ref="D76:G76"/>
    <mergeCell ref="D77:G77"/>
    <mergeCell ref="E106:G106"/>
    <mergeCell ref="D74:G74"/>
    <mergeCell ref="D91:E94"/>
    <mergeCell ref="D95:E95"/>
    <mergeCell ref="E3:F3"/>
    <mergeCell ref="S9:S12"/>
    <mergeCell ref="T9:T12"/>
    <mergeCell ref="S1:T1"/>
    <mergeCell ref="H9:I9"/>
    <mergeCell ref="J9:K9"/>
    <mergeCell ref="L9:M9"/>
    <mergeCell ref="N9:O9"/>
    <mergeCell ref="P9:Q9"/>
    <mergeCell ref="R9:R12"/>
    <mergeCell ref="S2:T2"/>
  </mergeCells>
  <phoneticPr fontId="5" type="noConversion"/>
  <dataValidations disablePrompts="1" count="3">
    <dataValidation allowBlank="1" showInputMessage="1" showErrorMessage="1" promptTitle="Reminder" prompt="Postdoc minimum can be found at http://www.grad-college.iastate.edu/post_doc/policies.php" sqref="D26" xr:uid="{00000000-0002-0000-0000-000000000000}"/>
    <dataValidation type="list" allowBlank="1" showInputMessage="1" showErrorMessage="1" sqref="G5" xr:uid="{00000000-0002-0000-0000-000001000000}">
      <formula1>FA_RATE</formula1>
    </dataValidation>
    <dataValidation type="list" allowBlank="1" showInputMessage="1" showErrorMessage="1" sqref="G6" xr:uid="{00000000-0002-0000-0000-000002000000}">
      <formula1>$W$4:$W$5</formula1>
    </dataValidation>
  </dataValidations>
  <hyperlinks>
    <hyperlink ref="D74" r:id="rId1" xr:uid="{00000000-0004-0000-0000-000001000000}"/>
    <hyperlink ref="D91" r:id="rId2" xr:uid="{00000000-0004-0000-0000-000002000000}"/>
  </hyperlinks>
  <printOptions horizontalCentered="1"/>
  <pageMargins left="0.75" right="0.75" top="1" bottom="1" header="0.5" footer="0.5"/>
  <pageSetup scale="29" orientation="landscape" horizontalDpi="1200" verticalDpi="1200" r:id="rId3"/>
  <headerFooter alignWithMargins="0"/>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82"/>
  <sheetViews>
    <sheetView topLeftCell="F1" workbookViewId="0">
      <selection activeCell="K21" sqref="K21"/>
    </sheetView>
  </sheetViews>
  <sheetFormatPr defaultColWidth="16.26953125" defaultRowHeight="12.5" x14ac:dyDescent="0.25"/>
  <cols>
    <col min="1" max="1" width="25.81640625" style="110" bestFit="1" customWidth="1"/>
    <col min="2" max="2" width="11" style="110" customWidth="1"/>
    <col min="3" max="3" width="11.453125" style="110" hidden="1" customWidth="1"/>
    <col min="4" max="4" width="24.1796875" style="110" customWidth="1"/>
    <col min="5" max="5" width="16.26953125" style="110" bestFit="1" customWidth="1"/>
    <col min="6" max="6" width="11.81640625" style="110" bestFit="1" customWidth="1"/>
    <col min="7" max="7" width="13.81640625" style="110" hidden="1" customWidth="1"/>
    <col min="8" max="8" width="9" style="110" bestFit="1" customWidth="1"/>
    <col min="9" max="9" width="15.1796875" style="110" bestFit="1" customWidth="1"/>
    <col min="10" max="10" width="14" style="110" bestFit="1" customWidth="1"/>
    <col min="11" max="11" width="26.81640625" style="110" bestFit="1" customWidth="1"/>
    <col min="12" max="12" width="13.1796875" style="110" bestFit="1" customWidth="1"/>
    <col min="13" max="13" width="11.453125" style="110" bestFit="1" customWidth="1"/>
    <col min="14" max="16384" width="16.26953125" style="110"/>
  </cols>
  <sheetData>
    <row r="1" spans="1:13" ht="13" x14ac:dyDescent="0.3">
      <c r="D1" s="166" t="s">
        <v>136</v>
      </c>
    </row>
    <row r="3" spans="1:13" ht="13" x14ac:dyDescent="0.3">
      <c r="A3" s="166" t="s">
        <v>137</v>
      </c>
      <c r="B3" s="110" t="s">
        <v>138</v>
      </c>
    </row>
    <row r="4" spans="1:13" ht="13" x14ac:dyDescent="0.3">
      <c r="A4" s="166"/>
      <c r="B4" s="110" t="s">
        <v>139</v>
      </c>
    </row>
    <row r="5" spans="1:13" ht="13" x14ac:dyDescent="0.3">
      <c r="A5" s="166"/>
    </row>
    <row r="6" spans="1:13" ht="13" hidden="1" x14ac:dyDescent="0.3">
      <c r="A6" s="166"/>
      <c r="B6" s="110" t="s">
        <v>140</v>
      </c>
    </row>
    <row r="7" spans="1:13" ht="13" hidden="1" x14ac:dyDescent="0.3">
      <c r="A7" s="166"/>
      <c r="B7" s="110" t="s">
        <v>141</v>
      </c>
    </row>
    <row r="8" spans="1:13" ht="13" hidden="1" x14ac:dyDescent="0.3">
      <c r="A8" s="166"/>
    </row>
    <row r="9" spans="1:13" ht="13" x14ac:dyDescent="0.3">
      <c r="A9" s="166"/>
      <c r="B9" s="110" t="s">
        <v>142</v>
      </c>
    </row>
    <row r="10" spans="1:13" ht="13.5" thickBot="1" x14ac:dyDescent="0.35">
      <c r="A10" s="166"/>
    </row>
    <row r="11" spans="1:13" ht="13" x14ac:dyDescent="0.3">
      <c r="A11" s="166"/>
      <c r="B11" s="165"/>
      <c r="C11" s="164"/>
      <c r="D11" s="163" t="s">
        <v>143</v>
      </c>
      <c r="E11" s="164"/>
      <c r="F11" s="164"/>
      <c r="G11" s="164"/>
      <c r="H11" s="164"/>
      <c r="I11" s="163" t="s">
        <v>144</v>
      </c>
    </row>
    <row r="12" spans="1:13" ht="13.5" thickBot="1" x14ac:dyDescent="0.35">
      <c r="A12" s="162" t="s">
        <v>145</v>
      </c>
      <c r="B12" s="161"/>
      <c r="C12" s="160"/>
      <c r="D12" s="159">
        <f>D22+D32+D42+D52+D62+D72+D82</f>
        <v>67947.402434799995</v>
      </c>
      <c r="E12" s="160"/>
      <c r="F12" s="160"/>
      <c r="G12" s="160"/>
      <c r="H12" s="160"/>
      <c r="I12" s="159">
        <f>I22+I32+I42+I52+I62+I72+I82</f>
        <v>36012.123290443997</v>
      </c>
    </row>
    <row r="15" spans="1:13" ht="26.5" thickBot="1" x14ac:dyDescent="0.35">
      <c r="A15" s="148" t="s">
        <v>146</v>
      </c>
      <c r="B15" s="145" t="s">
        <v>147</v>
      </c>
      <c r="C15" s="146" t="s">
        <v>148</v>
      </c>
      <c r="D15" s="147" t="s">
        <v>149</v>
      </c>
      <c r="E15" s="146" t="s">
        <v>148</v>
      </c>
      <c r="F15" s="146"/>
      <c r="G15" s="146" t="s">
        <v>148</v>
      </c>
      <c r="I15" s="146" t="s">
        <v>148</v>
      </c>
      <c r="J15" s="146" t="s">
        <v>148</v>
      </c>
      <c r="K15" s="158" t="s">
        <v>150</v>
      </c>
    </row>
    <row r="16" spans="1:13" ht="13.5" thickBot="1" x14ac:dyDescent="0.35">
      <c r="B16" s="145" t="s">
        <v>151</v>
      </c>
      <c r="C16" s="122" t="s">
        <v>152</v>
      </c>
      <c r="D16" s="144" t="s">
        <v>153</v>
      </c>
      <c r="E16" s="143" t="s">
        <v>154</v>
      </c>
      <c r="F16" s="122" t="s">
        <v>155</v>
      </c>
      <c r="G16" s="122" t="s">
        <v>156</v>
      </c>
      <c r="H16" s="142" t="s">
        <v>157</v>
      </c>
      <c r="I16" s="142" t="s">
        <v>158</v>
      </c>
      <c r="J16" s="141" t="s">
        <v>159</v>
      </c>
      <c r="K16" s="156" t="s">
        <v>160</v>
      </c>
      <c r="L16" s="157" t="s">
        <v>161</v>
      </c>
      <c r="M16" s="156" t="s">
        <v>162</v>
      </c>
    </row>
    <row r="17" spans="1:13" ht="13.5" thickBot="1" x14ac:dyDescent="0.35">
      <c r="A17" s="140" t="s">
        <v>163</v>
      </c>
      <c r="B17" s="134">
        <f>Summary!H11</f>
        <v>45778</v>
      </c>
      <c r="C17" s="139">
        <f>ROUND(IF((B17=0),0,(B18-B17))/30,0)</f>
        <v>12</v>
      </c>
      <c r="D17" s="138">
        <f>Summary!H102</f>
        <v>32790.202434799998</v>
      </c>
      <c r="E17" s="137">
        <f>IF(ISERROR(D17/F22),0,(D17/F22))</f>
        <v>89.836171054246563</v>
      </c>
      <c r="F17" s="130">
        <f>IF(OR($B$18&lt;$K17,$B$17&gt;$L17),0,(MIN($B$18,$L17)-MAX($B$17,$K17)+1))</f>
        <v>0</v>
      </c>
      <c r="G17" s="130">
        <f>ROUND(IF(ISERROR(F17/365),0,(F17/365)*12),2)</f>
        <v>0</v>
      </c>
      <c r="H17" s="129">
        <f>IF(OR($B$18&lt;$K17,$B$17&gt;$L17),0,M17)</f>
        <v>0</v>
      </c>
      <c r="I17" s="128">
        <f>(F17*$E$17)*H17</f>
        <v>0</v>
      </c>
      <c r="J17" s="127">
        <f>IF(ISERROR(I17/H17),0,(I17/H17))</f>
        <v>0</v>
      </c>
      <c r="K17" s="155">
        <v>42552</v>
      </c>
      <c r="L17" s="155">
        <v>42916</v>
      </c>
      <c r="M17" s="154">
        <v>0.52</v>
      </c>
    </row>
    <row r="18" spans="1:13" ht="13.5" thickBot="1" x14ac:dyDescent="0.35">
      <c r="A18" s="135" t="s">
        <v>164</v>
      </c>
      <c r="B18" s="134">
        <f>Summary!I11</f>
        <v>46142</v>
      </c>
      <c r="C18" s="151"/>
      <c r="D18" s="132"/>
      <c r="E18" s="131"/>
      <c r="F18" s="130">
        <f>IF(OR($B$18&lt;$K18,$B$17&gt;$L18),0,(MIN($B$18,$L18)-MAX($B$17,$K18)+1))</f>
        <v>0</v>
      </c>
      <c r="G18" s="130">
        <f>ROUND(IF(ISERROR(F18/365),0,(F18/365)*12),2)</f>
        <v>0</v>
      </c>
      <c r="H18" s="129">
        <f>IF(OR($B$18&lt;$K18,$B$17&gt;$L18),0,M18)</f>
        <v>0</v>
      </c>
      <c r="I18" s="128">
        <f>(F18*$E$17)*H18</f>
        <v>0</v>
      </c>
      <c r="J18" s="127">
        <f>IF(ISERROR(I18/H18),0,(I18/H18))</f>
        <v>0</v>
      </c>
      <c r="K18" s="155">
        <v>42917</v>
      </c>
      <c r="L18" s="155">
        <v>43281</v>
      </c>
      <c r="M18" s="154">
        <v>0.52</v>
      </c>
    </row>
    <row r="19" spans="1:13" x14ac:dyDescent="0.25">
      <c r="C19" s="151"/>
      <c r="D19" s="132"/>
      <c r="E19" s="131"/>
      <c r="F19" s="130">
        <f>IF(OR($B$18&lt;$K19,$B$17&gt;$L19),0,(MIN($B$18,$L19)-MAX($B$17,$K19)+1))</f>
        <v>0</v>
      </c>
      <c r="G19" s="130">
        <f>ROUND(IF(ISERROR(F19/365),0,(F19/365)*12),2)</f>
        <v>0</v>
      </c>
      <c r="H19" s="129">
        <f>IF(OR($B$18&lt;$K19,$B$17&gt;$L19),0,M19)</f>
        <v>0</v>
      </c>
      <c r="I19" s="128">
        <f>(F19*$E$17)*H19</f>
        <v>0</v>
      </c>
      <c r="J19" s="127">
        <f>IF(ISERROR(I19/H19),0,(I19/H19))</f>
        <v>0</v>
      </c>
      <c r="K19" s="155">
        <v>43282</v>
      </c>
      <c r="L19" s="155">
        <v>43646</v>
      </c>
      <c r="M19" s="154">
        <v>0.53</v>
      </c>
    </row>
    <row r="20" spans="1:13" x14ac:dyDescent="0.25">
      <c r="C20" s="133"/>
      <c r="D20" s="132"/>
      <c r="E20" s="131"/>
      <c r="F20" s="130">
        <f>IF(OR($B$18&lt;$K20,$B$17&gt;$L20),0,(MIN($B$18,$L20)-MAX($B$17,$K20)+1))</f>
        <v>0</v>
      </c>
      <c r="G20" s="130">
        <f>ROUND(IF(ISERROR(F20/365),0,(F20/365)*12),2)</f>
        <v>0</v>
      </c>
      <c r="H20" s="129">
        <f>IF(OR($B$18&lt;$K20,$B$17&gt;$L20),0,M20)</f>
        <v>0</v>
      </c>
      <c r="I20" s="128">
        <f>(F20*$E$17)*H20</f>
        <v>0</v>
      </c>
      <c r="J20" s="127">
        <f>IF(ISERROR(I20/H20),0,(I20/H20))</f>
        <v>0</v>
      </c>
      <c r="K20" s="155">
        <v>43647</v>
      </c>
      <c r="L20" s="155">
        <v>44012</v>
      </c>
      <c r="M20" s="154">
        <v>0.53</v>
      </c>
    </row>
    <row r="21" spans="1:13" x14ac:dyDescent="0.25">
      <c r="B21" s="126"/>
      <c r="C21" s="125"/>
      <c r="D21" s="124"/>
      <c r="E21" s="123"/>
      <c r="F21" s="122">
        <f>IF(OR($B$18&lt;$K21,$B$17&gt;$L21),0,(MIN($B$18,$L21)-MAX($B$17,$K21)+1))</f>
        <v>365</v>
      </c>
      <c r="G21" s="122">
        <f>ROUND(IF(ISERROR(F21/365),0,(F21/365)*12),2)</f>
        <v>12</v>
      </c>
      <c r="H21" s="121">
        <f>IF(OR($B$18&lt;$K21,$B$17&gt;$L21),0,M21)</f>
        <v>0.53</v>
      </c>
      <c r="I21" s="120">
        <f>(F21*$E$17)*H21</f>
        <v>17378.807290444001</v>
      </c>
      <c r="J21" s="119">
        <f>IF(ISERROR(I21/H21),0,(I21/H21))</f>
        <v>32790.202434799998</v>
      </c>
      <c r="K21" s="155">
        <v>44013</v>
      </c>
      <c r="L21" s="155">
        <v>47664</v>
      </c>
      <c r="M21" s="154">
        <v>0.53</v>
      </c>
    </row>
    <row r="22" spans="1:13" ht="13" x14ac:dyDescent="0.3">
      <c r="B22" s="118" t="s">
        <v>165</v>
      </c>
      <c r="C22" s="117"/>
      <c r="D22" s="116">
        <f>SUM(D17:D21)</f>
        <v>32790.202434799998</v>
      </c>
      <c r="E22" s="115"/>
      <c r="F22" s="114">
        <f>SUM(F17:F21)</f>
        <v>365</v>
      </c>
      <c r="G22" s="114">
        <f>SUM(G17:G21)</f>
        <v>12</v>
      </c>
      <c r="H22" s="113">
        <f>AVERAGEIF(H17:H21,"&lt;&gt;0")</f>
        <v>0.53</v>
      </c>
      <c r="I22" s="112">
        <f>SUM(I17:I21)</f>
        <v>17378.807290444001</v>
      </c>
      <c r="J22" s="111">
        <f>SUM(J17:J21)</f>
        <v>32790.202434799998</v>
      </c>
      <c r="K22" s="153"/>
      <c r="L22" s="153"/>
      <c r="M22" s="153"/>
    </row>
    <row r="23" spans="1:13" x14ac:dyDescent="0.25">
      <c r="F23" s="133"/>
      <c r="G23" s="146"/>
    </row>
    <row r="24" spans="1:13" ht="14.25" customHeight="1" x14ac:dyDescent="0.25">
      <c r="F24" s="146"/>
      <c r="G24" s="146"/>
    </row>
    <row r="25" spans="1:13" ht="18" customHeight="1" thickBot="1" x14ac:dyDescent="0.35">
      <c r="A25" s="148" t="s">
        <v>166</v>
      </c>
      <c r="B25" s="145" t="s">
        <v>147</v>
      </c>
      <c r="C25" s="146" t="s">
        <v>148</v>
      </c>
      <c r="D25" s="147" t="s">
        <v>149</v>
      </c>
      <c r="E25" s="146" t="s">
        <v>148</v>
      </c>
      <c r="F25" s="146"/>
      <c r="G25" s="146" t="s">
        <v>148</v>
      </c>
      <c r="I25" s="146" t="s">
        <v>148</v>
      </c>
      <c r="J25" s="146" t="s">
        <v>148</v>
      </c>
    </row>
    <row r="26" spans="1:13" ht="13.5" thickBot="1" x14ac:dyDescent="0.35">
      <c r="B26" s="145" t="s">
        <v>151</v>
      </c>
      <c r="C26" s="152" t="s">
        <v>152</v>
      </c>
      <c r="D26" s="144" t="s">
        <v>153</v>
      </c>
      <c r="E26" s="143" t="s">
        <v>154</v>
      </c>
      <c r="F26" s="122" t="s">
        <v>155</v>
      </c>
      <c r="G26" s="122" t="s">
        <v>156</v>
      </c>
      <c r="H26" s="142" t="s">
        <v>157</v>
      </c>
      <c r="I26" s="142" t="s">
        <v>158</v>
      </c>
      <c r="J26" s="141" t="s">
        <v>159</v>
      </c>
    </row>
    <row r="27" spans="1:13" ht="13.5" thickBot="1" x14ac:dyDescent="0.35">
      <c r="A27" s="140" t="s">
        <v>163</v>
      </c>
      <c r="B27" s="134">
        <f>Summary!J11</f>
        <v>46143</v>
      </c>
      <c r="C27" s="139">
        <f>ROUND(IF((B27=0),0,(B28-B27))/30,0)</f>
        <v>12</v>
      </c>
      <c r="D27" s="138">
        <f>Summary!J102</f>
        <v>35157.199999999997</v>
      </c>
      <c r="E27" s="137">
        <f>IF(ISERROR(D27/F32),0,(D27/F32))</f>
        <v>96.321095890410945</v>
      </c>
      <c r="F27" s="130">
        <f>IF(OR($B$28&lt;$K17,$B$27&gt;$L17),0,(MIN($B$28,$L17)-MAX($B$27,$K17)+1))</f>
        <v>0</v>
      </c>
      <c r="G27" s="130">
        <f>ROUND(IF(ISERROR(F27/365),0,(F27/365))*12,0)</f>
        <v>0</v>
      </c>
      <c r="H27" s="129">
        <f>IF(OR($B$28&lt;$K17,$B$27&gt;$L17),0,M17)</f>
        <v>0</v>
      </c>
      <c r="I27" s="128">
        <f>(F27*$E$27)*H27</f>
        <v>0</v>
      </c>
      <c r="J27" s="127">
        <f>IF(ISERROR(I27/H27),0,(I27/H27))</f>
        <v>0</v>
      </c>
    </row>
    <row r="28" spans="1:13" ht="13.5" thickBot="1" x14ac:dyDescent="0.35">
      <c r="A28" s="135" t="s">
        <v>164</v>
      </c>
      <c r="B28" s="134">
        <f>Summary!K11</f>
        <v>46507</v>
      </c>
      <c r="D28" s="132"/>
      <c r="E28" s="131"/>
      <c r="F28" s="130">
        <f>IF(OR($B$28&lt;$K18,$B$27&gt;$L18),0,(MIN($B$28,$L18)-MAX($B$27,$K18)+1))</f>
        <v>0</v>
      </c>
      <c r="G28" s="130">
        <f>ROUND(IF(ISERROR(F28/365),0,(F28/365))*12,0)</f>
        <v>0</v>
      </c>
      <c r="H28" s="129">
        <f>IF(OR($B$28&lt;$K18,$B$27&gt;$L18),0,M18)</f>
        <v>0</v>
      </c>
      <c r="I28" s="128">
        <f>(F28*$E$27)*H28</f>
        <v>0</v>
      </c>
      <c r="J28" s="127">
        <f>IF(ISERROR(I28/H28),0,(I28/H28))</f>
        <v>0</v>
      </c>
    </row>
    <row r="29" spans="1:13" x14ac:dyDescent="0.25">
      <c r="C29" s="133"/>
      <c r="D29" s="132"/>
      <c r="E29" s="131"/>
      <c r="F29" s="130">
        <f>IF(OR($B$28&lt;$K19,$B$27&gt;$L19),0,(MIN($B$28,$L19)-MAX($B$27,$K19)+1))</f>
        <v>0</v>
      </c>
      <c r="G29" s="130">
        <f>ROUND(IF(ISERROR(F29/365),0,(F29/365))*12,0)</f>
        <v>0</v>
      </c>
      <c r="H29" s="129">
        <f>IF(OR($B$28&lt;$K19,$B$27&gt;$L19),0,M19)</f>
        <v>0</v>
      </c>
      <c r="I29" s="128">
        <f>(F29*$E$27)*H29</f>
        <v>0</v>
      </c>
      <c r="J29" s="127">
        <f>IF(ISERROR(I29/H29),0,(I29/H29))</f>
        <v>0</v>
      </c>
    </row>
    <row r="30" spans="1:13" x14ac:dyDescent="0.25">
      <c r="C30" s="133"/>
      <c r="D30" s="132"/>
      <c r="E30" s="131"/>
      <c r="F30" s="130">
        <f>IF(OR($B$28&lt;$K20,$B$27&gt;$L20),0,(MIN($B$28,$L20)-MAX($B$27,$K20)+1))</f>
        <v>0</v>
      </c>
      <c r="G30" s="130">
        <f>ROUND(IF(ISERROR(F30/365),0,(F30/365))*12,0)</f>
        <v>0</v>
      </c>
      <c r="H30" s="129">
        <f>IF(OR($B$28&lt;$K20,$B$27&gt;$L20),0,M20)</f>
        <v>0</v>
      </c>
      <c r="I30" s="128">
        <f>(F30*$E$27)*H30</f>
        <v>0</v>
      </c>
      <c r="J30" s="127">
        <f>IF(ISERROR(I30/H30),0,(I30/H30))</f>
        <v>0</v>
      </c>
    </row>
    <row r="31" spans="1:13" x14ac:dyDescent="0.25">
      <c r="B31" s="126"/>
      <c r="C31" s="125"/>
      <c r="D31" s="124"/>
      <c r="E31" s="123"/>
      <c r="F31" s="122">
        <f>IF(OR($B$28&lt;$K21,$B$27&gt;$L21),0,(MIN($B$28,$L21)-MAX($B$27,$K21)+1))</f>
        <v>365</v>
      </c>
      <c r="G31" s="122">
        <f>ROUND(IF(ISERROR(F31/365),0,(F31/365))*12,0)</f>
        <v>12</v>
      </c>
      <c r="H31" s="121">
        <f>IF(OR($B$28&lt;$K21,$B$27&gt;$L21),0,M21)</f>
        <v>0.53</v>
      </c>
      <c r="I31" s="120">
        <f>(F31*$E$27)*H31</f>
        <v>18633.315999999999</v>
      </c>
      <c r="J31" s="119">
        <f>IF(ISERROR(I31/H31),0,(I31/H31))</f>
        <v>35157.199999999997</v>
      </c>
    </row>
    <row r="32" spans="1:13" ht="13" x14ac:dyDescent="0.3">
      <c r="B32" s="118" t="s">
        <v>165</v>
      </c>
      <c r="C32" s="117"/>
      <c r="D32" s="116">
        <f>SUM(D27:D31)</f>
        <v>35157.199999999997</v>
      </c>
      <c r="E32" s="115"/>
      <c r="F32" s="114">
        <f>SUM(F27:F31)</f>
        <v>365</v>
      </c>
      <c r="G32" s="114">
        <f>SUM(G27:G31)</f>
        <v>12</v>
      </c>
      <c r="H32" s="113">
        <f>AVERAGEIF(H27:H31,"&lt;&gt;0")</f>
        <v>0.53</v>
      </c>
      <c r="I32" s="112">
        <f>SUM(I27:I31)</f>
        <v>18633.315999999999</v>
      </c>
      <c r="J32" s="111">
        <f>SUM(J27:J31)</f>
        <v>35157.199999999997</v>
      </c>
      <c r="K32" s="149"/>
    </row>
    <row r="33" spans="1:12" x14ac:dyDescent="0.25">
      <c r="F33" s="146"/>
      <c r="K33" s="149"/>
    </row>
    <row r="34" spans="1:12" x14ac:dyDescent="0.25">
      <c r="C34" s="151"/>
      <c r="F34" s="146"/>
      <c r="K34" s="149"/>
    </row>
    <row r="35" spans="1:12" ht="13.5" thickBot="1" x14ac:dyDescent="0.35">
      <c r="A35" s="148" t="s">
        <v>167</v>
      </c>
      <c r="B35" s="145" t="s">
        <v>147</v>
      </c>
      <c r="C35" s="146" t="s">
        <v>148</v>
      </c>
      <c r="D35" s="147" t="s">
        <v>149</v>
      </c>
      <c r="E35" s="146" t="s">
        <v>148</v>
      </c>
      <c r="F35" s="146"/>
      <c r="G35" s="146" t="s">
        <v>148</v>
      </c>
      <c r="I35" s="146" t="s">
        <v>148</v>
      </c>
      <c r="J35" s="146" t="s">
        <v>148</v>
      </c>
    </row>
    <row r="36" spans="1:12" ht="13.5" thickBot="1" x14ac:dyDescent="0.35">
      <c r="B36" s="145" t="s">
        <v>151</v>
      </c>
      <c r="C36" s="122" t="s">
        <v>152</v>
      </c>
      <c r="D36" s="144" t="s">
        <v>153</v>
      </c>
      <c r="E36" s="143" t="s">
        <v>154</v>
      </c>
      <c r="F36" s="122" t="s">
        <v>155</v>
      </c>
      <c r="G36" s="122" t="s">
        <v>156</v>
      </c>
      <c r="H36" s="142" t="s">
        <v>157</v>
      </c>
      <c r="I36" s="142" t="s">
        <v>158</v>
      </c>
      <c r="J36" s="141" t="s">
        <v>159</v>
      </c>
    </row>
    <row r="37" spans="1:12" ht="13.5" thickBot="1" x14ac:dyDescent="0.35">
      <c r="A37" s="140" t="s">
        <v>163</v>
      </c>
      <c r="B37" s="134">
        <f>Summary!L11</f>
        <v>46508</v>
      </c>
      <c r="C37" s="139">
        <f>ROUND(IF((B37=0),0,(B38-B37))/30,0)</f>
        <v>12</v>
      </c>
      <c r="D37" s="138">
        <f>Summary!L102</f>
        <v>0</v>
      </c>
      <c r="E37" s="137">
        <f>IF(ISERROR(D37/F42),0,(D37/F42))</f>
        <v>0</v>
      </c>
      <c r="F37" s="136">
        <f>IF(OR($B$38&lt;$K17,$B$37&gt;$L17),0,(MIN($B$38,$L17)-MAX($B$37,$K17)+1))</f>
        <v>0</v>
      </c>
      <c r="G37" s="130">
        <f>ROUND(IF(ISERROR(F37/365),0,(F37/365))*12,0)</f>
        <v>0</v>
      </c>
      <c r="H37" s="129">
        <f>IF(OR($B$38&lt;$K17,$B$37&gt;$L17),0,M17)</f>
        <v>0</v>
      </c>
      <c r="I37" s="128">
        <f>(F37*$E$37)*H37</f>
        <v>0</v>
      </c>
      <c r="J37" s="127">
        <f>IF(ISERROR(I37/H37),0,(I37/H37))</f>
        <v>0</v>
      </c>
    </row>
    <row r="38" spans="1:12" ht="13.5" thickBot="1" x14ac:dyDescent="0.35">
      <c r="A38" s="135" t="s">
        <v>164</v>
      </c>
      <c r="B38" s="134">
        <f>Summary!M11</f>
        <v>46873</v>
      </c>
      <c r="D38" s="132"/>
      <c r="E38" s="131"/>
      <c r="F38" s="130">
        <f>IF(OR($B$38&lt;$K18,$B$37&gt;$L18),0,(MIN($B$38,$L18)-MAX($B$37,$K18)+1))</f>
        <v>0</v>
      </c>
      <c r="G38" s="130">
        <f>ROUND(IF(ISERROR(F38/365),0,(F38/365))*12,0)</f>
        <v>0</v>
      </c>
      <c r="H38" s="129">
        <f>IF(OR($B$38&lt;$K18,$B$37&gt;$L18),0,M18)</f>
        <v>0</v>
      </c>
      <c r="I38" s="128">
        <f>(F38*$E$37)*H38</f>
        <v>0</v>
      </c>
      <c r="J38" s="127">
        <f>IF(ISERROR(I38/H38),0,(I38/H38))</f>
        <v>0</v>
      </c>
      <c r="K38" s="149"/>
      <c r="L38" s="149"/>
    </row>
    <row r="39" spans="1:12" x14ac:dyDescent="0.25">
      <c r="C39" s="133"/>
      <c r="D39" s="132"/>
      <c r="E39" s="131"/>
      <c r="F39" s="130">
        <f>IF(OR($B$38&lt;$K19,$B$37&gt;$L19),0,(MIN($B$38,$L19)-MAX($B$37,$K19)+1))</f>
        <v>0</v>
      </c>
      <c r="G39" s="130">
        <f>ROUND(IF(ISERROR(F39/365),0,(F39/365))*12,0)</f>
        <v>0</v>
      </c>
      <c r="H39" s="129">
        <f>IF(OR($B$38&lt;$K19,$B$37&gt;$L19),0,M19)</f>
        <v>0</v>
      </c>
      <c r="I39" s="128">
        <f>(F39*$E$37)*H39</f>
        <v>0</v>
      </c>
      <c r="J39" s="127">
        <f>IF(ISERROR(I39/H39),0,(I39/H39))</f>
        <v>0</v>
      </c>
      <c r="K39" s="149"/>
      <c r="L39" s="149"/>
    </row>
    <row r="40" spans="1:12" x14ac:dyDescent="0.25">
      <c r="C40" s="133"/>
      <c r="D40" s="132"/>
      <c r="E40" s="131"/>
      <c r="F40" s="130">
        <f>IF(OR($B$38&lt;$K20,$B$37&gt;$L20),0,(MIN($B$38,$L20)-MAX($B$37,$K20)+1))</f>
        <v>0</v>
      </c>
      <c r="G40" s="130">
        <f>ROUND(IF(ISERROR(F40/365),0,(F40/365))*12,0)</f>
        <v>0</v>
      </c>
      <c r="H40" s="129">
        <f>IF(OR($B$38&lt;$K20,$B$37&gt;$L20),0,M20)</f>
        <v>0</v>
      </c>
      <c r="I40" s="128">
        <f>(F40*$E$37)*H40</f>
        <v>0</v>
      </c>
      <c r="J40" s="127">
        <f>IF(ISERROR(I40/H40),0,(I40/H40))</f>
        <v>0</v>
      </c>
      <c r="K40" s="149"/>
      <c r="L40" s="149"/>
    </row>
    <row r="41" spans="1:12" x14ac:dyDescent="0.25">
      <c r="B41" s="126"/>
      <c r="C41" s="125"/>
      <c r="D41" s="124"/>
      <c r="E41" s="123"/>
      <c r="F41" s="122">
        <f>IF(OR($B$38&lt;$K21,$B$37&gt;$L21),0,(MIN($B$38,$L21)-MAX($B$37,$K21)+1))</f>
        <v>366</v>
      </c>
      <c r="G41" s="122">
        <f>ROUND(IF(ISERROR(F41/365),0,(F41/365))*12,0)</f>
        <v>12</v>
      </c>
      <c r="H41" s="121">
        <f>IF(OR($B$38&lt;$K21,$B$37&gt;$L21),0,M21)</f>
        <v>0.53</v>
      </c>
      <c r="I41" s="120">
        <f>(F41*$E$37)*H41</f>
        <v>0</v>
      </c>
      <c r="J41" s="119">
        <f>IF(ISERROR(I41/H41),0,(I41/H41))</f>
        <v>0</v>
      </c>
    </row>
    <row r="42" spans="1:12" ht="13" x14ac:dyDescent="0.3">
      <c r="B42" s="118" t="s">
        <v>165</v>
      </c>
      <c r="C42" s="117"/>
      <c r="D42" s="116">
        <f>SUM(D37:D41)</f>
        <v>0</v>
      </c>
      <c r="E42" s="115"/>
      <c r="F42" s="114">
        <f>SUM(F37:F41)</f>
        <v>366</v>
      </c>
      <c r="G42" s="114">
        <f>SUM(G37:G41)</f>
        <v>12</v>
      </c>
      <c r="H42" s="113">
        <f>AVERAGEIF(H37:H41,"&lt;&gt;0")</f>
        <v>0.53</v>
      </c>
      <c r="I42" s="112">
        <f>SUM(I37:I41)</f>
        <v>0</v>
      </c>
      <c r="J42" s="111">
        <f>SUM(J37:J41)</f>
        <v>0</v>
      </c>
      <c r="K42" s="149"/>
    </row>
    <row r="43" spans="1:12" x14ac:dyDescent="0.25">
      <c r="F43" s="146"/>
      <c r="K43" s="149"/>
    </row>
    <row r="44" spans="1:12" x14ac:dyDescent="0.25">
      <c r="F44" s="146"/>
    </row>
    <row r="45" spans="1:12" ht="13.5" thickBot="1" x14ac:dyDescent="0.35">
      <c r="A45" s="148" t="s">
        <v>168</v>
      </c>
      <c r="B45" s="145" t="s">
        <v>147</v>
      </c>
      <c r="C45" s="146" t="s">
        <v>148</v>
      </c>
      <c r="D45" s="147" t="s">
        <v>149</v>
      </c>
      <c r="E45" s="146" t="s">
        <v>148</v>
      </c>
      <c r="F45" s="146"/>
      <c r="G45" s="146" t="s">
        <v>148</v>
      </c>
      <c r="I45" s="146" t="s">
        <v>148</v>
      </c>
      <c r="J45" s="146" t="s">
        <v>148</v>
      </c>
      <c r="K45" s="149"/>
    </row>
    <row r="46" spans="1:12" ht="13.5" thickBot="1" x14ac:dyDescent="0.35">
      <c r="B46" s="145" t="s">
        <v>151</v>
      </c>
      <c r="C46" s="122" t="s">
        <v>152</v>
      </c>
      <c r="D46" s="144" t="s">
        <v>153</v>
      </c>
      <c r="E46" s="143" t="s">
        <v>154</v>
      </c>
      <c r="F46" s="122" t="s">
        <v>155</v>
      </c>
      <c r="G46" s="122" t="s">
        <v>156</v>
      </c>
      <c r="H46" s="142" t="s">
        <v>157</v>
      </c>
      <c r="I46" s="142" t="s">
        <v>158</v>
      </c>
      <c r="J46" s="141" t="s">
        <v>159</v>
      </c>
    </row>
    <row r="47" spans="1:12" ht="13.5" thickBot="1" x14ac:dyDescent="0.35">
      <c r="A47" s="140" t="s">
        <v>163</v>
      </c>
      <c r="B47" s="134">
        <f>Summary!N11</f>
        <v>46874</v>
      </c>
      <c r="C47" s="139">
        <f>ROUND(IF((B47=0),0,(B48-B47))/30,0)</f>
        <v>12</v>
      </c>
      <c r="D47" s="138">
        <f>Summary!N102</f>
        <v>0</v>
      </c>
      <c r="E47" s="137">
        <f>IF(ISERROR(D47/F52),0,(D47/F52))</f>
        <v>0</v>
      </c>
      <c r="F47" s="136">
        <f>IF(OR($B$48&lt;$K17,$B$47&gt;$L17),0,(MIN($B$48,$L17)-MAX($B$47,$K17)+1))</f>
        <v>0</v>
      </c>
      <c r="G47" s="130">
        <f>ROUND(IF(ISERROR(F47/365),0,(F47/365))*12,0)</f>
        <v>0</v>
      </c>
      <c r="H47" s="129">
        <f>IF(OR($B$48&lt;$K17,$B$47&gt;$L17),0,M17)</f>
        <v>0</v>
      </c>
      <c r="I47" s="128">
        <f>(F47*$E$47)*H47</f>
        <v>0</v>
      </c>
      <c r="J47" s="127">
        <f>IF(ISERROR(I47/H47),0,(I47/H47))</f>
        <v>0</v>
      </c>
    </row>
    <row r="48" spans="1:12" ht="13.5" thickBot="1" x14ac:dyDescent="0.35">
      <c r="A48" s="135" t="s">
        <v>164</v>
      </c>
      <c r="B48" s="134">
        <f>Summary!O11</f>
        <v>47238</v>
      </c>
      <c r="D48" s="132"/>
      <c r="E48" s="131"/>
      <c r="F48" s="130">
        <f>IF(OR($B$48&lt;$K18,$B$47&gt;$L18),0,(MIN($B$48,$L18)-MAX($B$47,$K18)+1))</f>
        <v>0</v>
      </c>
      <c r="G48" s="130">
        <f>ROUND(IF(ISERROR(F48/365),0,(F48/365))*12,0)</f>
        <v>0</v>
      </c>
      <c r="H48" s="129">
        <f>IF(OR($B$48&lt;$K18,$B$47&gt;$L18),0,M18)</f>
        <v>0</v>
      </c>
      <c r="I48" s="128">
        <f>(F48*$E$47)*H48</f>
        <v>0</v>
      </c>
      <c r="J48" s="127">
        <f>IF(ISERROR(I48/H48),0,(I48/H48))</f>
        <v>0</v>
      </c>
      <c r="K48" s="150"/>
    </row>
    <row r="49" spans="1:11" x14ac:dyDescent="0.25">
      <c r="C49" s="133"/>
      <c r="D49" s="132"/>
      <c r="E49" s="131"/>
      <c r="F49" s="130">
        <f>IF(OR($B$48&lt;$K19,$B$47&gt;$L19),0,(MIN($B$48,$L19)-MAX($B$47,$K19)+1))</f>
        <v>0</v>
      </c>
      <c r="G49" s="130">
        <f>ROUND(IF(ISERROR(F49/365),0,(F49/365))*12,0)</f>
        <v>0</v>
      </c>
      <c r="H49" s="129">
        <f>IF(OR($B$48&lt;$K19,$B$47&gt;$L19),0,M19)</f>
        <v>0</v>
      </c>
      <c r="I49" s="128">
        <f>(F49*$E$47)*H49</f>
        <v>0</v>
      </c>
      <c r="J49" s="127">
        <f>IF(ISERROR(I49/H49),0,(I49/H49))</f>
        <v>0</v>
      </c>
    </row>
    <row r="50" spans="1:11" x14ac:dyDescent="0.25">
      <c r="C50" s="133"/>
      <c r="D50" s="132"/>
      <c r="E50" s="131"/>
      <c r="F50" s="130">
        <f>IF(OR($B$48&lt;$K20,$B$47&gt;$L20),0,(MIN($B$48,$L20)-MAX($B$47,$K20)+1))</f>
        <v>0</v>
      </c>
      <c r="G50" s="130">
        <f>ROUND(IF(ISERROR(F50/365),0,(F50/365))*12,0)</f>
        <v>0</v>
      </c>
      <c r="H50" s="129">
        <f>IF(OR($B$48&lt;$K20,$B$47&gt;$L20),0,M20)</f>
        <v>0</v>
      </c>
      <c r="I50" s="128">
        <f>(F50*$E$47)*H50</f>
        <v>0</v>
      </c>
      <c r="J50" s="127">
        <f>IF(ISERROR(I50/H50),0,(I50/H50))</f>
        <v>0</v>
      </c>
      <c r="K50" s="150"/>
    </row>
    <row r="51" spans="1:11" x14ac:dyDescent="0.25">
      <c r="B51" s="126"/>
      <c r="C51" s="125"/>
      <c r="D51" s="124"/>
      <c r="E51" s="123"/>
      <c r="F51" s="122">
        <f>IF(OR($B$48&lt;$K21,$B$47&gt;$L21),0,(MIN($B$48,$L21)-MAX($B$47,$K21)+1))</f>
        <v>365</v>
      </c>
      <c r="G51" s="122">
        <f>ROUND(IF(ISERROR(F51/365),0,(F51/365))*12,0)</f>
        <v>12</v>
      </c>
      <c r="H51" s="121">
        <f>IF(OR($B$48&lt;$K21,$B$47&gt;$L21),0,M21)</f>
        <v>0.53</v>
      </c>
      <c r="I51" s="120">
        <f>(F51*$E$47)*H51</f>
        <v>0</v>
      </c>
      <c r="J51" s="119">
        <f>IF(ISERROR(I51/H51),0,(I51/H51))</f>
        <v>0</v>
      </c>
    </row>
    <row r="52" spans="1:11" ht="13" x14ac:dyDescent="0.3">
      <c r="B52" s="118" t="s">
        <v>165</v>
      </c>
      <c r="C52" s="117"/>
      <c r="D52" s="116">
        <f>SUM(D47:D51)</f>
        <v>0</v>
      </c>
      <c r="E52" s="115"/>
      <c r="F52" s="114">
        <f>SUM(F47:F51)</f>
        <v>365</v>
      </c>
      <c r="G52" s="114">
        <f>SUM(G47:G51)</f>
        <v>12</v>
      </c>
      <c r="H52" s="113">
        <f>AVERAGEIF(H47:H51,"&lt;&gt;0")</f>
        <v>0.53</v>
      </c>
      <c r="I52" s="112">
        <f>SUM(I47:I51)</f>
        <v>0</v>
      </c>
      <c r="J52" s="111">
        <f>SUM(J47:J51)</f>
        <v>0</v>
      </c>
    </row>
    <row r="53" spans="1:11" x14ac:dyDescent="0.25">
      <c r="F53" s="146"/>
    </row>
    <row r="54" spans="1:11" x14ac:dyDescent="0.25">
      <c r="F54" s="146"/>
    </row>
    <row r="55" spans="1:11" ht="13.5" thickBot="1" x14ac:dyDescent="0.35">
      <c r="A55" s="148" t="s">
        <v>169</v>
      </c>
      <c r="B55" s="145" t="s">
        <v>147</v>
      </c>
      <c r="C55" s="146" t="s">
        <v>148</v>
      </c>
      <c r="D55" s="147" t="s">
        <v>149</v>
      </c>
      <c r="E55" s="146" t="s">
        <v>148</v>
      </c>
      <c r="F55" s="146"/>
      <c r="G55" s="146" t="s">
        <v>148</v>
      </c>
      <c r="I55" s="146" t="s">
        <v>148</v>
      </c>
      <c r="J55" s="146" t="s">
        <v>148</v>
      </c>
    </row>
    <row r="56" spans="1:11" ht="13.5" thickBot="1" x14ac:dyDescent="0.35">
      <c r="B56" s="145" t="s">
        <v>151</v>
      </c>
      <c r="C56" s="122" t="s">
        <v>152</v>
      </c>
      <c r="D56" s="144" t="s">
        <v>153</v>
      </c>
      <c r="E56" s="143" t="s">
        <v>154</v>
      </c>
      <c r="F56" s="122" t="s">
        <v>155</v>
      </c>
      <c r="G56" s="122" t="s">
        <v>156</v>
      </c>
      <c r="H56" s="142" t="s">
        <v>157</v>
      </c>
      <c r="I56" s="142" t="s">
        <v>158</v>
      </c>
      <c r="J56" s="141" t="s">
        <v>159</v>
      </c>
      <c r="K56" s="149"/>
    </row>
    <row r="57" spans="1:11" ht="13.5" thickBot="1" x14ac:dyDescent="0.35">
      <c r="A57" s="140" t="s">
        <v>163</v>
      </c>
      <c r="B57" s="134">
        <f>Summary!P11</f>
        <v>47239</v>
      </c>
      <c r="C57" s="139">
        <f>ROUND(IF((B57=0),0,(B58-B57))/30,0)</f>
        <v>12</v>
      </c>
      <c r="D57" s="138">
        <f>Summary!P102</f>
        <v>0</v>
      </c>
      <c r="E57" s="137">
        <f>IF(ISERROR(D57/F62),0,(D57/F62))</f>
        <v>0</v>
      </c>
      <c r="F57" s="136">
        <f>IF(OR($B$58&lt;$K17,$B$57&gt;$L17),0,(MIN($B$58,$L17)-MAX($B$57,$K17)+1))</f>
        <v>0</v>
      </c>
      <c r="G57" s="130">
        <f>ROUND(IF(ISERROR(F57/365),0,(F57/365))*12,0)</f>
        <v>0</v>
      </c>
      <c r="H57" s="129">
        <f>IF(OR($B$58&lt;$K17,$B$57&gt;$L17),0,M17)</f>
        <v>0</v>
      </c>
      <c r="I57" s="128">
        <f>(F57*$E$57)*H57</f>
        <v>0</v>
      </c>
      <c r="J57" s="127">
        <f>IF(ISERROR(I57/H57),0,(I57/H57))</f>
        <v>0</v>
      </c>
    </row>
    <row r="58" spans="1:11" ht="13.5" thickBot="1" x14ac:dyDescent="0.35">
      <c r="A58" s="135" t="s">
        <v>164</v>
      </c>
      <c r="B58" s="134">
        <f>Summary!Q11</f>
        <v>47603</v>
      </c>
      <c r="D58" s="132"/>
      <c r="E58" s="131"/>
      <c r="F58" s="130">
        <f>IF(OR($B$58&lt;$K18,$B$57&gt;$L18),0,(MIN($B$58,$L18)-MAX($B$57,$K18)+1))</f>
        <v>0</v>
      </c>
      <c r="G58" s="130">
        <f>ROUND(IF(ISERROR(F58/365),0,(F58/365))*12,0)</f>
        <v>0</v>
      </c>
      <c r="H58" s="129">
        <f>IF(OR($B$58&lt;$K18,$B$57&gt;$L18),0,M18)</f>
        <v>0</v>
      </c>
      <c r="I58" s="128">
        <f>(F58*$E$57)*H58</f>
        <v>0</v>
      </c>
      <c r="J58" s="127">
        <f>IF(ISERROR(I58/H58),0,(I58/H58))</f>
        <v>0</v>
      </c>
    </row>
    <row r="59" spans="1:11" x14ac:dyDescent="0.25">
      <c r="C59" s="133"/>
      <c r="D59" s="132"/>
      <c r="E59" s="131"/>
      <c r="F59" s="130">
        <f>IF(OR($B$58&lt;$K19,$B$57&gt;$L19),0,(MIN($B$58,$L19)-MAX($B$57,$K19)+1))</f>
        <v>0</v>
      </c>
      <c r="G59" s="130">
        <f>ROUND(IF(ISERROR(F59/365),0,(F59/365))*12,0)</f>
        <v>0</v>
      </c>
      <c r="H59" s="129">
        <f>IF(OR($B$58&lt;$K19,$B$57&gt;$L19),0,M19)</f>
        <v>0</v>
      </c>
      <c r="I59" s="128">
        <f>(F59*$E$57)*H59</f>
        <v>0</v>
      </c>
      <c r="J59" s="127">
        <f>IF(ISERROR(I59/H59),0,(I59/H59))</f>
        <v>0</v>
      </c>
    </row>
    <row r="60" spans="1:11" x14ac:dyDescent="0.25">
      <c r="C60" s="133"/>
      <c r="D60" s="132"/>
      <c r="E60" s="131"/>
      <c r="F60" s="130">
        <f>IF(OR($B$58&lt;$K20,$B$57&gt;$L20),0,(MIN($B$58,$L20)-MAX($B$57,$K20)+1))</f>
        <v>0</v>
      </c>
      <c r="G60" s="130">
        <f>ROUND(IF(ISERROR(F60/365),0,(F60/365))*12,0)</f>
        <v>0</v>
      </c>
      <c r="H60" s="129">
        <f>IF(OR($B$58&lt;$K20,$B$57&gt;$L20),0,M20)</f>
        <v>0</v>
      </c>
      <c r="I60" s="128">
        <f>(F60*$E$57)*H60</f>
        <v>0</v>
      </c>
      <c r="J60" s="127">
        <f>IF(ISERROR(I60/H60),0,(I60/H60))</f>
        <v>0</v>
      </c>
    </row>
    <row r="61" spans="1:11" x14ac:dyDescent="0.25">
      <c r="B61" s="126"/>
      <c r="C61" s="125"/>
      <c r="D61" s="124"/>
      <c r="E61" s="123"/>
      <c r="F61" s="122">
        <f>IF(OR($B$58&lt;$K21,$B$57&gt;$L21),0,(MIN($B$58,$L21)-MAX($B$57,$K21)+1))</f>
        <v>365</v>
      </c>
      <c r="G61" s="122">
        <f>ROUND(IF(ISERROR(F61/365),0,(F61/365))*12,0)</f>
        <v>12</v>
      </c>
      <c r="H61" s="121">
        <f>IF(OR($B$58&lt;$K21,$B$57&gt;$L21),0,M21)</f>
        <v>0.53</v>
      </c>
      <c r="I61" s="120">
        <f>(F61*$E$57)*H61</f>
        <v>0</v>
      </c>
      <c r="J61" s="119">
        <f>IF(ISERROR(I61/H61),0,(I61/H61))</f>
        <v>0</v>
      </c>
    </row>
    <row r="62" spans="1:11" ht="13" x14ac:dyDescent="0.3">
      <c r="B62" s="118" t="s">
        <v>165</v>
      </c>
      <c r="C62" s="117"/>
      <c r="D62" s="116">
        <f>SUM(D57:D61)</f>
        <v>0</v>
      </c>
      <c r="E62" s="115"/>
      <c r="F62" s="114">
        <f>SUM(F57:F61)</f>
        <v>365</v>
      </c>
      <c r="G62" s="114">
        <f>SUM(G57:G61)</f>
        <v>12</v>
      </c>
      <c r="H62" s="113">
        <f>AVERAGEIF(H57:H61,"&lt;&gt;0")</f>
        <v>0.53</v>
      </c>
      <c r="I62" s="112">
        <f>SUM(I57:I61)</f>
        <v>0</v>
      </c>
      <c r="J62" s="111">
        <f>SUM(J57:J61)</f>
        <v>0</v>
      </c>
    </row>
    <row r="63" spans="1:11" x14ac:dyDescent="0.25">
      <c r="F63" s="146"/>
    </row>
    <row r="64" spans="1:11" x14ac:dyDescent="0.25">
      <c r="F64" s="146"/>
    </row>
    <row r="65" spans="1:10" ht="13.5" thickBot="1" x14ac:dyDescent="0.35">
      <c r="A65" s="148" t="s">
        <v>170</v>
      </c>
      <c r="B65" s="145" t="s">
        <v>147</v>
      </c>
      <c r="C65" s="146" t="s">
        <v>148</v>
      </c>
      <c r="D65" s="147" t="s">
        <v>149</v>
      </c>
      <c r="E65" s="146" t="s">
        <v>148</v>
      </c>
      <c r="F65" s="146"/>
      <c r="G65" s="146" t="s">
        <v>148</v>
      </c>
      <c r="I65" s="146" t="s">
        <v>148</v>
      </c>
      <c r="J65" s="146" t="s">
        <v>148</v>
      </c>
    </row>
    <row r="66" spans="1:10" ht="13.5" thickBot="1" x14ac:dyDescent="0.35">
      <c r="B66" s="145" t="s">
        <v>151</v>
      </c>
      <c r="C66" s="122" t="s">
        <v>152</v>
      </c>
      <c r="D66" s="144" t="s">
        <v>153</v>
      </c>
      <c r="E66" s="143" t="s">
        <v>154</v>
      </c>
      <c r="F66" s="122" t="s">
        <v>155</v>
      </c>
      <c r="G66" s="122" t="s">
        <v>156</v>
      </c>
      <c r="H66" s="142" t="s">
        <v>157</v>
      </c>
      <c r="I66" s="142" t="s">
        <v>158</v>
      </c>
      <c r="J66" s="141" t="s">
        <v>159</v>
      </c>
    </row>
    <row r="67" spans="1:10" ht="13.5" thickBot="1" x14ac:dyDescent="0.35">
      <c r="A67" s="140" t="s">
        <v>163</v>
      </c>
      <c r="B67" s="134"/>
      <c r="C67" s="139">
        <f>ROUND(IF((B67=0),0,(B68-B67))/30,0)</f>
        <v>0</v>
      </c>
      <c r="D67" s="138">
        <v>0</v>
      </c>
      <c r="E67" s="137">
        <f>IF(ISERROR(D67/F72),0,(D67/F72))</f>
        <v>0</v>
      </c>
      <c r="F67" s="136">
        <f>IF(OR($B$68&lt;$K17,$B$67&gt;$L17),0,(MIN($B$68,$L17)-MAX($B$67,$K17)+1))</f>
        <v>0</v>
      </c>
      <c r="G67" s="130">
        <f>ROUND(IF(ISERROR(F67/365),0,(F67/365))*12,0)</f>
        <v>0</v>
      </c>
      <c r="H67" s="129">
        <f>IF(OR($B$68&lt;$K17,$B$67&gt;$L17),0,M17)</f>
        <v>0</v>
      </c>
      <c r="I67" s="128">
        <f>(F67*$E$67)*H67</f>
        <v>0</v>
      </c>
      <c r="J67" s="127">
        <f>IF(ISERROR(I67/H67),0,(I67/H67))</f>
        <v>0</v>
      </c>
    </row>
    <row r="68" spans="1:10" ht="13.5" thickBot="1" x14ac:dyDescent="0.35">
      <c r="A68" s="135" t="s">
        <v>164</v>
      </c>
      <c r="B68" s="134"/>
      <c r="D68" s="132"/>
      <c r="E68" s="131"/>
      <c r="F68" s="130">
        <f>IF(OR($B$68&lt;$K18,$B$67&gt;$L18),0,(MIN($B$68,$L18)-MAX($B$67,$K18)+1))</f>
        <v>0</v>
      </c>
      <c r="G68" s="130">
        <f>ROUND(IF(ISERROR(F68/365),0,(F68/365))*12,0)</f>
        <v>0</v>
      </c>
      <c r="H68" s="129">
        <f>IF(OR($B$68&lt;$K18,$B$67&gt;$L18),0,M18)</f>
        <v>0</v>
      </c>
      <c r="I68" s="128">
        <f>(F68*$E$67)*H68</f>
        <v>0</v>
      </c>
      <c r="J68" s="127">
        <f>IF(ISERROR(I68/H68),0,(I68/H68))</f>
        <v>0</v>
      </c>
    </row>
    <row r="69" spans="1:10" x14ac:dyDescent="0.25">
      <c r="C69" s="133"/>
      <c r="D69" s="132"/>
      <c r="E69" s="131"/>
      <c r="F69" s="130">
        <f>IF(OR($B$68&lt;$K19,$B$67&gt;$L19),0,(MIN($B$68,$L19)-MAX($B$67,$K19)+1))</f>
        <v>0</v>
      </c>
      <c r="G69" s="130">
        <f>ROUND(IF(ISERROR(F69/365),0,(F69/365))*12,0)</f>
        <v>0</v>
      </c>
      <c r="H69" s="129">
        <f>IF(OR($B$68&lt;$K19,$B$67&gt;$L19),0,M19)</f>
        <v>0</v>
      </c>
      <c r="I69" s="128">
        <f>(F69*$E$67)*H69</f>
        <v>0</v>
      </c>
      <c r="J69" s="127">
        <f>IF(ISERROR(I69/H69),0,(I69/H69))</f>
        <v>0</v>
      </c>
    </row>
    <row r="70" spans="1:10" x14ac:dyDescent="0.25">
      <c r="C70" s="133"/>
      <c r="D70" s="132"/>
      <c r="E70" s="131"/>
      <c r="F70" s="130">
        <f>IF(OR($B$68&lt;$K20,$B$67&gt;$L20),0,(MIN($B$68,$L20)-MAX($B$67,$K20)+1))</f>
        <v>0</v>
      </c>
      <c r="G70" s="130">
        <f>ROUND(IF(ISERROR(F70/365),0,(F70/365))*12,0)</f>
        <v>0</v>
      </c>
      <c r="H70" s="129">
        <f>IF(OR($B$68&lt;$K20,$B$67&gt;$L20),0,M20)</f>
        <v>0</v>
      </c>
      <c r="I70" s="128">
        <f>(F70*$E$67)*H70</f>
        <v>0</v>
      </c>
      <c r="J70" s="127">
        <f>IF(ISERROR(I70/H70),0,(I70/H70))</f>
        <v>0</v>
      </c>
    </row>
    <row r="71" spans="1:10" x14ac:dyDescent="0.25">
      <c r="B71" s="126"/>
      <c r="C71" s="125"/>
      <c r="D71" s="124"/>
      <c r="E71" s="123"/>
      <c r="F71" s="122">
        <f>IF(OR($B$68&lt;$K21,$B$67&gt;$L21),0,(MIN($B$68,$L21)-MAX($B$67,$K21)+1))</f>
        <v>0</v>
      </c>
      <c r="G71" s="122">
        <f>ROUND(IF(ISERROR(F71/365),0,(F71/365))*12,0)</f>
        <v>0</v>
      </c>
      <c r="H71" s="121">
        <f>IF(OR($B$68&lt;$K21,$B$67&gt;$L21),0,M21)</f>
        <v>0</v>
      </c>
      <c r="I71" s="120">
        <f>(F71*$E$67)*H71</f>
        <v>0</v>
      </c>
      <c r="J71" s="119">
        <f>IF(ISERROR(I71/H71),0,(I71/H71))</f>
        <v>0</v>
      </c>
    </row>
    <row r="72" spans="1:10" ht="13" x14ac:dyDescent="0.3">
      <c r="B72" s="118" t="s">
        <v>165</v>
      </c>
      <c r="C72" s="117"/>
      <c r="D72" s="116">
        <f>SUM(D67:D71)</f>
        <v>0</v>
      </c>
      <c r="E72" s="115"/>
      <c r="F72" s="114">
        <f>SUM(F67:F71)</f>
        <v>0</v>
      </c>
      <c r="G72" s="114">
        <f>SUM(G67:G71)</f>
        <v>0</v>
      </c>
      <c r="H72" s="113" t="e">
        <f>AVERAGEIF(H67:H71,"&lt;&gt;0")</f>
        <v>#DIV/0!</v>
      </c>
      <c r="I72" s="112">
        <f>SUM(I67:I71)</f>
        <v>0</v>
      </c>
      <c r="J72" s="111">
        <f>SUM(J67:J71)</f>
        <v>0</v>
      </c>
    </row>
    <row r="73" spans="1:10" x14ac:dyDescent="0.25">
      <c r="F73" s="146"/>
    </row>
    <row r="74" spans="1:10" x14ac:dyDescent="0.25">
      <c r="F74" s="146"/>
    </row>
    <row r="75" spans="1:10" ht="13.5" thickBot="1" x14ac:dyDescent="0.35">
      <c r="A75" s="148" t="s">
        <v>171</v>
      </c>
      <c r="B75" s="145" t="s">
        <v>147</v>
      </c>
      <c r="C75" s="146" t="s">
        <v>148</v>
      </c>
      <c r="D75" s="147" t="s">
        <v>149</v>
      </c>
      <c r="E75" s="146" t="s">
        <v>148</v>
      </c>
      <c r="F75" s="146"/>
      <c r="G75" s="146" t="s">
        <v>148</v>
      </c>
      <c r="I75" s="146" t="s">
        <v>148</v>
      </c>
      <c r="J75" s="146" t="s">
        <v>148</v>
      </c>
    </row>
    <row r="76" spans="1:10" ht="13.5" thickBot="1" x14ac:dyDescent="0.35">
      <c r="B76" s="145" t="s">
        <v>151</v>
      </c>
      <c r="C76" s="122" t="s">
        <v>152</v>
      </c>
      <c r="D76" s="144" t="s">
        <v>153</v>
      </c>
      <c r="E76" s="143" t="s">
        <v>154</v>
      </c>
      <c r="F76" s="122" t="s">
        <v>155</v>
      </c>
      <c r="G76" s="122" t="s">
        <v>156</v>
      </c>
      <c r="H76" s="142" t="s">
        <v>157</v>
      </c>
      <c r="I76" s="142" t="s">
        <v>158</v>
      </c>
      <c r="J76" s="141" t="s">
        <v>159</v>
      </c>
    </row>
    <row r="77" spans="1:10" ht="13.5" thickBot="1" x14ac:dyDescent="0.35">
      <c r="A77" s="140" t="s">
        <v>163</v>
      </c>
      <c r="B77" s="134"/>
      <c r="C77" s="139">
        <f>ROUND(IF((B77=0),0,(B78-B77))/30,0)</f>
        <v>0</v>
      </c>
      <c r="D77" s="138">
        <v>0</v>
      </c>
      <c r="E77" s="137">
        <f>IF(ISERROR(D77/F82),0,(D77/F82))</f>
        <v>0</v>
      </c>
      <c r="F77" s="136">
        <f>IF(OR($B$78&lt;$K17,$B$77&gt;$L17),0,(MIN($B$78,$L17)-MAX($B$77,$K17)+1))</f>
        <v>0</v>
      </c>
      <c r="G77" s="130">
        <f>ROUND(IF(ISERROR(F77/365),0,(F77/365))*12,0)</f>
        <v>0</v>
      </c>
      <c r="H77" s="129">
        <f>IF(OR($B$78&lt;$K17,$B$77&gt;$L17),0,M17)</f>
        <v>0</v>
      </c>
      <c r="I77" s="128">
        <f>(F77*$E$77)*H77</f>
        <v>0</v>
      </c>
      <c r="J77" s="127">
        <f>IF(ISERROR(I77/H77),0,(I77/H77))</f>
        <v>0</v>
      </c>
    </row>
    <row r="78" spans="1:10" ht="13.5" thickBot="1" x14ac:dyDescent="0.35">
      <c r="A78" s="135" t="s">
        <v>164</v>
      </c>
      <c r="B78" s="134"/>
      <c r="D78" s="132"/>
      <c r="E78" s="131"/>
      <c r="F78" s="130">
        <f>IF(OR($B$78&lt;$K18,$B$77&gt;$L18),0,(MIN($B$78,$L18)-MAX($B$77,$K18)+1))</f>
        <v>0</v>
      </c>
      <c r="G78" s="130">
        <f>ROUND(IF(ISERROR(F78/365),0,(F78/365))*12,0)</f>
        <v>0</v>
      </c>
      <c r="H78" s="129">
        <f>IF(OR($B$78&lt;$K18,$B$77&gt;$L18),0,M18)</f>
        <v>0</v>
      </c>
      <c r="I78" s="128">
        <f>(F78*$E$77)*H78</f>
        <v>0</v>
      </c>
      <c r="J78" s="127">
        <f>IF(ISERROR(I78/H78),0,(I78/H78))</f>
        <v>0</v>
      </c>
    </row>
    <row r="79" spans="1:10" x14ac:dyDescent="0.25">
      <c r="C79" s="133"/>
      <c r="D79" s="132"/>
      <c r="E79" s="131"/>
      <c r="F79" s="130">
        <f>IF(OR($B$78&lt;$K19,$B$77&gt;$L19),0,(MIN($B$78,$L19)-MAX($B$77,$K19)+1))</f>
        <v>0</v>
      </c>
      <c r="G79" s="130">
        <f>ROUND(IF(ISERROR(F79/365),0,(F79/365))*12,0)</f>
        <v>0</v>
      </c>
      <c r="H79" s="129">
        <f>IF(OR($B$78&lt;$K19,$B$77&gt;$L19),0,M19)</f>
        <v>0</v>
      </c>
      <c r="I79" s="128">
        <f>(F79*$E$77)*H79</f>
        <v>0</v>
      </c>
      <c r="J79" s="127">
        <f>IF(ISERROR(I79/H79),0,(I79/H79))</f>
        <v>0</v>
      </c>
    </row>
    <row r="80" spans="1:10" x14ac:dyDescent="0.25">
      <c r="C80" s="133"/>
      <c r="D80" s="132"/>
      <c r="E80" s="131"/>
      <c r="F80" s="130">
        <f>IF(OR($B$78&lt;$K20,$B$77&gt;$L20),0,(MIN($B$78,$L20)-MAX($B$77,$K20)+1))</f>
        <v>0</v>
      </c>
      <c r="G80" s="130">
        <f>ROUND(IF(ISERROR(F80/365),0,(F80/365))*12,0)</f>
        <v>0</v>
      </c>
      <c r="H80" s="129">
        <f>IF(OR($B$78&lt;$K20,$B$77&gt;$L20),0,M20)</f>
        <v>0</v>
      </c>
      <c r="I80" s="128">
        <f>(F80*$E$77)*H80</f>
        <v>0</v>
      </c>
      <c r="J80" s="127">
        <f>IF(ISERROR(I80/H80),0,(I80/H80))</f>
        <v>0</v>
      </c>
    </row>
    <row r="81" spans="2:10" x14ac:dyDescent="0.25">
      <c r="B81" s="126"/>
      <c r="C81" s="125"/>
      <c r="D81" s="124"/>
      <c r="E81" s="123"/>
      <c r="F81" s="122">
        <f>IF(OR($B$78&lt;$K21,$B$77&gt;$L21),0,(MIN($B$78,$L21)-MAX($B$77,$K21)+1))</f>
        <v>0</v>
      </c>
      <c r="G81" s="122">
        <f>ROUND(IF(ISERROR(F81/365),0,(F81/365))*12,0)</f>
        <v>0</v>
      </c>
      <c r="H81" s="121">
        <f>IF(OR($B$78&lt;$K21,$B$77&gt;$L21),0,M21)</f>
        <v>0</v>
      </c>
      <c r="I81" s="120">
        <f>(F81*$E$77)*H81</f>
        <v>0</v>
      </c>
      <c r="J81" s="119">
        <f>IF(ISERROR(I81/H81),0,(I81/H81))</f>
        <v>0</v>
      </c>
    </row>
    <row r="82" spans="2:10" ht="13" x14ac:dyDescent="0.3">
      <c r="B82" s="118" t="s">
        <v>165</v>
      </c>
      <c r="C82" s="117"/>
      <c r="D82" s="116">
        <f>SUM(D77:D81)</f>
        <v>0</v>
      </c>
      <c r="E82" s="115"/>
      <c r="F82" s="114">
        <f>SUM(F77:F81)</f>
        <v>0</v>
      </c>
      <c r="G82" s="114">
        <f>SUM(G77:G81)</f>
        <v>0</v>
      </c>
      <c r="H82" s="113" t="e">
        <f>AVERAGEIF(H77:H81,"&lt;&gt;0")</f>
        <v>#DIV/0!</v>
      </c>
      <c r="I82" s="112">
        <f>SUM(I77:I81)</f>
        <v>0</v>
      </c>
      <c r="J82" s="111">
        <f>SUM(J77:J81)</f>
        <v>0</v>
      </c>
    </row>
  </sheetData>
  <sheetProtection selectLockedCells="1"/>
  <dataValidations count="10">
    <dataValidation type="date" allowBlank="1" showInputMessage="1" showErrorMessage="1" errorTitle="Project Start Date" error="The Project Start date must be less than or equal to the Project End Date." sqref="B47 B27 B57 B67 B77 B37" xr:uid="{00000000-0002-0000-0100-000000000000}">
      <formula1>41275</formula1>
      <formula2>47848</formula2>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xr:uid="{00000000-0002-0000-0100-000001000000}">
      <formula1>B17</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xr:uid="{00000000-0002-0000-0100-000002000000}">
      <formula1>IF(C57=0,D57=0,D57&gt;0)</formula1>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xr:uid="{00000000-0002-0000-0100-000003000000}">
      <formula1>IF(C57=0,D57=0,D57&gt;0)</formula1>
    </dataValidation>
    <dataValidation type="date" allowBlank="1" showInputMessage="1" showErrorMessage="1" errorTitle="Project Start Date" error="The Project Start date must be less than or equal to the Project End Date." sqref="B17" xr:uid="{00000000-0002-0000-0100-000004000000}">
      <formula1>40179</formula1>
      <formula2>47848</formula2>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xr:uid="{00000000-0002-0000-0100-000005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xr:uid="{00000000-0002-0000-0100-000006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xr:uid="{00000000-0002-0000-0100-000007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xr:uid="{00000000-0002-0000-0100-000008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37" xr:uid="{00000000-0002-0000-0100-000009000000}">
      <formula1>IF(C57=0,D57=0,D57&gt;0)</formula1>
    </dataValidation>
  </dataValidations>
  <pageMargins left="0.7" right="0.7" top="0.75" bottom="0.75" header="0.3" footer="0.3"/>
  <pageSetup paperSize="17"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M82"/>
  <sheetViews>
    <sheetView workbookViewId="0">
      <selection activeCell="K30" sqref="K30"/>
    </sheetView>
  </sheetViews>
  <sheetFormatPr defaultColWidth="16.26953125" defaultRowHeight="12.5" x14ac:dyDescent="0.25"/>
  <cols>
    <col min="1" max="1" width="25.81640625" style="110" bestFit="1" customWidth="1"/>
    <col min="2" max="2" width="11" style="110" customWidth="1"/>
    <col min="3" max="3" width="11.453125" style="110" hidden="1" customWidth="1"/>
    <col min="4" max="4" width="24.1796875" style="110" customWidth="1"/>
    <col min="5" max="5" width="16.26953125" style="110" bestFit="1" customWidth="1"/>
    <col min="6" max="6" width="11.81640625" style="110" bestFit="1" customWidth="1"/>
    <col min="7" max="7" width="13.81640625" style="110" hidden="1" customWidth="1"/>
    <col min="8" max="8" width="9" style="110" bestFit="1" customWidth="1"/>
    <col min="9" max="9" width="15.1796875" style="110" bestFit="1" customWidth="1"/>
    <col min="10" max="10" width="14" style="110" bestFit="1" customWidth="1"/>
    <col min="11" max="11" width="26.81640625" style="110" bestFit="1" customWidth="1"/>
    <col min="12" max="12" width="13.1796875" style="110" bestFit="1" customWidth="1"/>
    <col min="13" max="13" width="11.453125" style="110" bestFit="1" customWidth="1"/>
    <col min="14" max="16384" width="16.26953125" style="110"/>
  </cols>
  <sheetData>
    <row r="1" spans="1:13" ht="13" x14ac:dyDescent="0.3">
      <c r="D1" s="166" t="s">
        <v>136</v>
      </c>
    </row>
    <row r="3" spans="1:13" ht="13" x14ac:dyDescent="0.3">
      <c r="A3" s="166" t="s">
        <v>137</v>
      </c>
      <c r="B3" s="110" t="s">
        <v>138</v>
      </c>
    </row>
    <row r="4" spans="1:13" ht="13" x14ac:dyDescent="0.3">
      <c r="A4" s="166"/>
      <c r="B4" s="110" t="s">
        <v>139</v>
      </c>
    </row>
    <row r="5" spans="1:13" ht="13" x14ac:dyDescent="0.3">
      <c r="A5" s="166"/>
    </row>
    <row r="6" spans="1:13" ht="13" hidden="1" x14ac:dyDescent="0.3">
      <c r="A6" s="166"/>
      <c r="B6" s="110" t="s">
        <v>140</v>
      </c>
    </row>
    <row r="7" spans="1:13" ht="13" hidden="1" x14ac:dyDescent="0.3">
      <c r="A7" s="166"/>
      <c r="B7" s="110" t="s">
        <v>141</v>
      </c>
    </row>
    <row r="8" spans="1:13" ht="13" hidden="1" x14ac:dyDescent="0.3">
      <c r="A8" s="166"/>
    </row>
    <row r="9" spans="1:13" ht="13" x14ac:dyDescent="0.3">
      <c r="A9" s="166"/>
      <c r="B9" s="110" t="s">
        <v>142</v>
      </c>
    </row>
    <row r="10" spans="1:13" ht="13.5" thickBot="1" x14ac:dyDescent="0.35">
      <c r="A10" s="166"/>
    </row>
    <row r="11" spans="1:13" ht="13" x14ac:dyDescent="0.3">
      <c r="A11" s="166"/>
      <c r="B11" s="165"/>
      <c r="C11" s="164"/>
      <c r="D11" s="163" t="s">
        <v>143</v>
      </c>
      <c r="E11" s="164"/>
      <c r="F11" s="164"/>
      <c r="G11" s="164"/>
      <c r="H11" s="164"/>
      <c r="I11" s="163" t="s">
        <v>144</v>
      </c>
    </row>
    <row r="12" spans="1:13" ht="13.5" thickBot="1" x14ac:dyDescent="0.35">
      <c r="A12" s="162" t="s">
        <v>145</v>
      </c>
      <c r="B12" s="161"/>
      <c r="C12" s="160"/>
      <c r="D12" s="159">
        <f>D22+D32+D42+D52+D62+D72+D82</f>
        <v>0</v>
      </c>
      <c r="E12" s="160"/>
      <c r="F12" s="160"/>
      <c r="G12" s="160"/>
      <c r="H12" s="160"/>
      <c r="I12" s="159">
        <f>I22+I32+I42+I52+I62+I72+I82</f>
        <v>0</v>
      </c>
    </row>
    <row r="15" spans="1:13" ht="26.5" thickBot="1" x14ac:dyDescent="0.35">
      <c r="A15" s="148" t="s">
        <v>146</v>
      </c>
      <c r="B15" s="145" t="s">
        <v>147</v>
      </c>
      <c r="C15" s="146" t="s">
        <v>148</v>
      </c>
      <c r="D15" s="147" t="s">
        <v>149</v>
      </c>
      <c r="E15" s="146" t="s">
        <v>148</v>
      </c>
      <c r="F15" s="146"/>
      <c r="G15" s="146" t="s">
        <v>148</v>
      </c>
      <c r="I15" s="146" t="s">
        <v>148</v>
      </c>
      <c r="J15" s="146" t="s">
        <v>148</v>
      </c>
      <c r="K15" s="158" t="s">
        <v>150</v>
      </c>
    </row>
    <row r="16" spans="1:13" ht="13.5" thickBot="1" x14ac:dyDescent="0.35">
      <c r="B16" s="145" t="s">
        <v>151</v>
      </c>
      <c r="C16" s="122" t="s">
        <v>152</v>
      </c>
      <c r="D16" s="144" t="s">
        <v>153</v>
      </c>
      <c r="E16" s="143" t="s">
        <v>154</v>
      </c>
      <c r="F16" s="122" t="s">
        <v>155</v>
      </c>
      <c r="G16" s="122" t="s">
        <v>156</v>
      </c>
      <c r="H16" s="142" t="s">
        <v>157</v>
      </c>
      <c r="I16" s="142" t="s">
        <v>158</v>
      </c>
      <c r="J16" s="141" t="s">
        <v>159</v>
      </c>
      <c r="K16" s="156" t="s">
        <v>160</v>
      </c>
      <c r="L16" s="157" t="s">
        <v>161</v>
      </c>
      <c r="M16" s="156" t="s">
        <v>162</v>
      </c>
    </row>
    <row r="17" spans="1:13" ht="13.5" thickBot="1" x14ac:dyDescent="0.35">
      <c r="A17" s="140" t="s">
        <v>163</v>
      </c>
      <c r="B17" s="134">
        <f>Summary!H11</f>
        <v>45778</v>
      </c>
      <c r="C17" s="139">
        <f>ROUND(IF((B17=0),0,(B18-B17))/30,0)</f>
        <v>12</v>
      </c>
      <c r="D17" s="138">
        <f>Summary!I102</f>
        <v>0</v>
      </c>
      <c r="E17" s="137">
        <f>IF(ISERROR(D17/F22),0,(D17/F22))</f>
        <v>0</v>
      </c>
      <c r="F17" s="130">
        <f>IF(OR($B$18&lt;$K17,$B$17&gt;$L17),0,(MIN($B$18,$L17)-MAX($B$17,$K17)+1))</f>
        <v>0</v>
      </c>
      <c r="G17" s="130">
        <f>ROUND(IF(ISERROR(F17/365),0,(F17/365)*12),2)</f>
        <v>0</v>
      </c>
      <c r="H17" s="129">
        <f>IF(OR($B$18&lt;$K17,$B$17&gt;$L17),0,M17)</f>
        <v>0</v>
      </c>
      <c r="I17" s="128">
        <f>(F17*$E$17)*H17</f>
        <v>0</v>
      </c>
      <c r="J17" s="127">
        <f>IF(ISERROR(I17/H17),0,(I17/H17))</f>
        <v>0</v>
      </c>
      <c r="K17" s="155">
        <v>42552</v>
      </c>
      <c r="L17" s="155">
        <v>42916</v>
      </c>
      <c r="M17" s="154">
        <v>0.52</v>
      </c>
    </row>
    <row r="18" spans="1:13" ht="13.5" thickBot="1" x14ac:dyDescent="0.35">
      <c r="A18" s="135" t="s">
        <v>164</v>
      </c>
      <c r="B18" s="134">
        <f>Summary!I11</f>
        <v>46142</v>
      </c>
      <c r="C18" s="151"/>
      <c r="D18" s="132"/>
      <c r="E18" s="131"/>
      <c r="F18" s="130">
        <f>IF(OR($B$18&lt;$K18,$B$17&gt;$L18),0,(MIN($B$18,$L18)-MAX($B$17,$K18)+1))</f>
        <v>0</v>
      </c>
      <c r="G18" s="130">
        <f>ROUND(IF(ISERROR(F18/365),0,(F18/365)*12),2)</f>
        <v>0</v>
      </c>
      <c r="H18" s="129">
        <f>IF(OR($B$18&lt;$K18,$B$17&gt;$L18),0,M18)</f>
        <v>0</v>
      </c>
      <c r="I18" s="128">
        <f>(F18*$E$17)*H18</f>
        <v>0</v>
      </c>
      <c r="J18" s="127">
        <f>IF(ISERROR(I18/H18),0,(I18/H18))</f>
        <v>0</v>
      </c>
      <c r="K18" s="155">
        <v>42917</v>
      </c>
      <c r="L18" s="155">
        <v>43281</v>
      </c>
      <c r="M18" s="154">
        <v>0.52</v>
      </c>
    </row>
    <row r="19" spans="1:13" x14ac:dyDescent="0.25">
      <c r="C19" s="151"/>
      <c r="D19" s="132"/>
      <c r="E19" s="131"/>
      <c r="F19" s="130">
        <f>IF(OR($B$18&lt;$K19,$B$17&gt;$L19),0,(MIN($B$18,$L19)-MAX($B$17,$K19)+1))</f>
        <v>0</v>
      </c>
      <c r="G19" s="130">
        <f>ROUND(IF(ISERROR(F19/365),0,(F19/365)*12),2)</f>
        <v>0</v>
      </c>
      <c r="H19" s="129">
        <f>IF(OR($B$18&lt;$K19,$B$17&gt;$L19),0,M19)</f>
        <v>0</v>
      </c>
      <c r="I19" s="128">
        <f>(F19*$E$17)*H19</f>
        <v>0</v>
      </c>
      <c r="J19" s="127">
        <f>IF(ISERROR(I19/H19),0,(I19/H19))</f>
        <v>0</v>
      </c>
      <c r="K19" s="155">
        <v>43282</v>
      </c>
      <c r="L19" s="155">
        <v>43646</v>
      </c>
      <c r="M19" s="154">
        <v>0.53</v>
      </c>
    </row>
    <row r="20" spans="1:13" x14ac:dyDescent="0.25">
      <c r="C20" s="133"/>
      <c r="D20" s="132"/>
      <c r="E20" s="131"/>
      <c r="F20" s="130">
        <f>IF(OR($B$18&lt;$K20,$B$17&gt;$L20),0,(MIN($B$18,$L20)-MAX($B$17,$K20)+1))</f>
        <v>0</v>
      </c>
      <c r="G20" s="130">
        <f>ROUND(IF(ISERROR(F20/365),0,(F20/365)*12),2)</f>
        <v>0</v>
      </c>
      <c r="H20" s="129">
        <f>IF(OR($B$18&lt;$K20,$B$17&gt;$L20),0,M20)</f>
        <v>0</v>
      </c>
      <c r="I20" s="128">
        <f>(F20*$E$17)*H20</f>
        <v>0</v>
      </c>
      <c r="J20" s="127">
        <f>IF(ISERROR(I20/H20),0,(I20/H20))</f>
        <v>0</v>
      </c>
      <c r="K20" s="155">
        <v>43647</v>
      </c>
      <c r="L20" s="155">
        <v>44012</v>
      </c>
      <c r="M20" s="154">
        <v>0.53</v>
      </c>
    </row>
    <row r="21" spans="1:13" x14ac:dyDescent="0.25">
      <c r="B21" s="126"/>
      <c r="C21" s="125"/>
      <c r="D21" s="124"/>
      <c r="E21" s="123"/>
      <c r="F21" s="122">
        <f>IF(OR($B$18&lt;$K21,$B$17&gt;$L21),0,(MIN($B$18,$L21)-MAX($B$17,$K21)+1))</f>
        <v>365</v>
      </c>
      <c r="G21" s="122">
        <f>ROUND(IF(ISERROR(F21/365),0,(F21/365)*12),2)</f>
        <v>12</v>
      </c>
      <c r="H21" s="121">
        <f>IF(OR($B$18&lt;$K21,$B$17&gt;$L21),0,M21)</f>
        <v>0.53</v>
      </c>
      <c r="I21" s="120">
        <f>(F21*$E$17)*H21</f>
        <v>0</v>
      </c>
      <c r="J21" s="119">
        <f>IF(ISERROR(I21/H21),0,(I21/H21))</f>
        <v>0</v>
      </c>
      <c r="K21" s="155">
        <v>44013</v>
      </c>
      <c r="L21" s="155">
        <v>47664</v>
      </c>
      <c r="M21" s="154">
        <v>0.53</v>
      </c>
    </row>
    <row r="22" spans="1:13" ht="13" x14ac:dyDescent="0.3">
      <c r="B22" s="118" t="s">
        <v>165</v>
      </c>
      <c r="C22" s="117"/>
      <c r="D22" s="116">
        <f>SUM(D17:D21)</f>
        <v>0</v>
      </c>
      <c r="E22" s="115"/>
      <c r="F22" s="114">
        <f>SUM(F17:F21)</f>
        <v>365</v>
      </c>
      <c r="G22" s="114">
        <f>SUM(G17:G21)</f>
        <v>12</v>
      </c>
      <c r="H22" s="113">
        <f>AVERAGEIF(H17:H21,"&lt;&gt;0")</f>
        <v>0.53</v>
      </c>
      <c r="I22" s="112">
        <f>SUM(I17:I21)</f>
        <v>0</v>
      </c>
      <c r="J22" s="111">
        <f>SUM(J17:J21)</f>
        <v>0</v>
      </c>
      <c r="K22" s="153"/>
      <c r="L22" s="153"/>
      <c r="M22" s="153"/>
    </row>
    <row r="23" spans="1:13" x14ac:dyDescent="0.25">
      <c r="F23" s="133"/>
      <c r="G23" s="146"/>
    </row>
    <row r="24" spans="1:13" ht="14.25" customHeight="1" x14ac:dyDescent="0.25">
      <c r="F24" s="146"/>
      <c r="G24" s="146"/>
    </row>
    <row r="25" spans="1:13" ht="18" customHeight="1" thickBot="1" x14ac:dyDescent="0.35">
      <c r="A25" s="148" t="s">
        <v>166</v>
      </c>
      <c r="B25" s="145" t="s">
        <v>147</v>
      </c>
      <c r="C25" s="146" t="s">
        <v>148</v>
      </c>
      <c r="D25" s="147" t="s">
        <v>149</v>
      </c>
      <c r="E25" s="146" t="s">
        <v>148</v>
      </c>
      <c r="F25" s="146"/>
      <c r="G25" s="146" t="s">
        <v>148</v>
      </c>
      <c r="I25" s="146" t="s">
        <v>148</v>
      </c>
      <c r="J25" s="146" t="s">
        <v>148</v>
      </c>
    </row>
    <row r="26" spans="1:13" ht="13.5" thickBot="1" x14ac:dyDescent="0.35">
      <c r="B26" s="145" t="s">
        <v>151</v>
      </c>
      <c r="C26" s="152" t="s">
        <v>152</v>
      </c>
      <c r="D26" s="144" t="s">
        <v>153</v>
      </c>
      <c r="E26" s="143" t="s">
        <v>154</v>
      </c>
      <c r="F26" s="122" t="s">
        <v>155</v>
      </c>
      <c r="G26" s="122" t="s">
        <v>156</v>
      </c>
      <c r="H26" s="142" t="s">
        <v>157</v>
      </c>
      <c r="I26" s="142" t="s">
        <v>158</v>
      </c>
      <c r="J26" s="141" t="s">
        <v>159</v>
      </c>
    </row>
    <row r="27" spans="1:13" ht="13.5" thickBot="1" x14ac:dyDescent="0.35">
      <c r="A27" s="140" t="s">
        <v>163</v>
      </c>
      <c r="B27" s="134">
        <f>Summary!J11</f>
        <v>46143</v>
      </c>
      <c r="C27" s="139">
        <f>ROUND(IF((B27=0),0,(B28-B27))/30,0)</f>
        <v>12</v>
      </c>
      <c r="D27" s="138">
        <f>Summary!K102</f>
        <v>0</v>
      </c>
      <c r="E27" s="137">
        <f>IF(ISERROR(D27/F32),0,(D27/F32))</f>
        <v>0</v>
      </c>
      <c r="F27" s="130">
        <f>IF(OR($B$28&lt;$K17,$B$27&gt;$L17),0,(MIN($B$28,$L17)-MAX($B$27,$K17)+1))</f>
        <v>0</v>
      </c>
      <c r="G27" s="130">
        <f>ROUND(IF(ISERROR(F27/365),0,(F27/365))*12,0)</f>
        <v>0</v>
      </c>
      <c r="H27" s="129">
        <f>IF(OR($B$28&lt;$K17,$B$27&gt;$L17),0,M17)</f>
        <v>0</v>
      </c>
      <c r="I27" s="128">
        <f>(F27*$E$27)*H27</f>
        <v>0</v>
      </c>
      <c r="J27" s="127">
        <f>IF(ISERROR(I27/H27),0,(I27/H27))</f>
        <v>0</v>
      </c>
    </row>
    <row r="28" spans="1:13" ht="13.5" thickBot="1" x14ac:dyDescent="0.35">
      <c r="A28" s="135" t="s">
        <v>164</v>
      </c>
      <c r="B28" s="134">
        <f>Summary!K11</f>
        <v>46507</v>
      </c>
      <c r="D28" s="132"/>
      <c r="E28" s="131"/>
      <c r="F28" s="130">
        <f>IF(OR($B$28&lt;$K18,$B$27&gt;$L18),0,(MIN($B$28,$L18)-MAX($B$27,$K18)+1))</f>
        <v>0</v>
      </c>
      <c r="G28" s="130">
        <f>ROUND(IF(ISERROR(F28/365),0,(F28/365))*12,0)</f>
        <v>0</v>
      </c>
      <c r="H28" s="129">
        <f>IF(OR($B$28&lt;$K18,$B$27&gt;$L18),0,M18)</f>
        <v>0</v>
      </c>
      <c r="I28" s="128">
        <f>(F28*$E$27)*H28</f>
        <v>0</v>
      </c>
      <c r="J28" s="127">
        <f>IF(ISERROR(I28/H28),0,(I28/H28))</f>
        <v>0</v>
      </c>
    </row>
    <row r="29" spans="1:13" x14ac:dyDescent="0.25">
      <c r="C29" s="133"/>
      <c r="D29" s="132"/>
      <c r="E29" s="131"/>
      <c r="F29" s="130">
        <f>IF(OR($B$28&lt;$K19,$B$27&gt;$L19),0,(MIN($B$28,$L19)-MAX($B$27,$K19)+1))</f>
        <v>0</v>
      </c>
      <c r="G29" s="130">
        <f>ROUND(IF(ISERROR(F29/365),0,(F29/365))*12,0)</f>
        <v>0</v>
      </c>
      <c r="H29" s="129">
        <f>IF(OR($B$28&lt;$K19,$B$27&gt;$L19),0,M19)</f>
        <v>0</v>
      </c>
      <c r="I29" s="128">
        <f>(F29*$E$27)*H29</f>
        <v>0</v>
      </c>
      <c r="J29" s="127">
        <f>IF(ISERROR(I29/H29),0,(I29/H29))</f>
        <v>0</v>
      </c>
    </row>
    <row r="30" spans="1:13" x14ac:dyDescent="0.25">
      <c r="C30" s="133"/>
      <c r="D30" s="132"/>
      <c r="E30" s="131"/>
      <c r="F30" s="130">
        <f>IF(OR($B$28&lt;$K20,$B$27&gt;$L20),0,(MIN($B$28,$L20)-MAX($B$27,$K20)+1))</f>
        <v>0</v>
      </c>
      <c r="G30" s="130">
        <f>ROUND(IF(ISERROR(F30/365),0,(F30/365))*12,0)</f>
        <v>0</v>
      </c>
      <c r="H30" s="129">
        <f>IF(OR($B$28&lt;$K20,$B$27&gt;$L20),0,M20)</f>
        <v>0</v>
      </c>
      <c r="I30" s="128">
        <f>(F30*$E$27)*H30</f>
        <v>0</v>
      </c>
      <c r="J30" s="127">
        <f>IF(ISERROR(I30/H30),0,(I30/H30))</f>
        <v>0</v>
      </c>
    </row>
    <row r="31" spans="1:13" x14ac:dyDescent="0.25">
      <c r="B31" s="126"/>
      <c r="C31" s="125"/>
      <c r="D31" s="124"/>
      <c r="E31" s="123"/>
      <c r="F31" s="122">
        <f>IF(OR($B$28&lt;$K21,$B$27&gt;$L21),0,(MIN($B$28,$L21)-MAX($B$27,$K21)+1))</f>
        <v>365</v>
      </c>
      <c r="G31" s="122">
        <f>ROUND(IF(ISERROR(F31/365),0,(F31/365))*12,0)</f>
        <v>12</v>
      </c>
      <c r="H31" s="121">
        <f>IF(OR($B$28&lt;$K21,$B$27&gt;$L21),0,M21)</f>
        <v>0.53</v>
      </c>
      <c r="I31" s="120">
        <f>(F31*$E$27)*H31</f>
        <v>0</v>
      </c>
      <c r="J31" s="119">
        <f>IF(ISERROR(I31/H31),0,(I31/H31))</f>
        <v>0</v>
      </c>
    </row>
    <row r="32" spans="1:13" ht="13" x14ac:dyDescent="0.3">
      <c r="B32" s="118" t="s">
        <v>165</v>
      </c>
      <c r="C32" s="117"/>
      <c r="D32" s="116">
        <f>SUM(D27:D31)</f>
        <v>0</v>
      </c>
      <c r="E32" s="115"/>
      <c r="F32" s="114">
        <f>SUM(F27:F31)</f>
        <v>365</v>
      </c>
      <c r="G32" s="114">
        <f>SUM(G27:G31)</f>
        <v>12</v>
      </c>
      <c r="H32" s="113">
        <f>AVERAGEIF(H27:H31,"&lt;&gt;0")</f>
        <v>0.53</v>
      </c>
      <c r="I32" s="112">
        <f>SUM(I27:I31)</f>
        <v>0</v>
      </c>
      <c r="J32" s="111">
        <f>SUM(J27:J31)</f>
        <v>0</v>
      </c>
      <c r="K32" s="149"/>
    </row>
    <row r="33" spans="1:12" x14ac:dyDescent="0.25">
      <c r="F33" s="146"/>
      <c r="K33" s="149"/>
    </row>
    <row r="34" spans="1:12" x14ac:dyDescent="0.25">
      <c r="C34" s="151"/>
      <c r="F34" s="146"/>
      <c r="K34" s="149"/>
    </row>
    <row r="35" spans="1:12" ht="13.5" thickBot="1" x14ac:dyDescent="0.35">
      <c r="A35" s="148" t="s">
        <v>167</v>
      </c>
      <c r="B35" s="145" t="s">
        <v>147</v>
      </c>
      <c r="C35" s="146" t="s">
        <v>148</v>
      </c>
      <c r="D35" s="147" t="s">
        <v>149</v>
      </c>
      <c r="E35" s="146" t="s">
        <v>148</v>
      </c>
      <c r="F35" s="146"/>
      <c r="G35" s="146" t="s">
        <v>148</v>
      </c>
      <c r="I35" s="146" t="s">
        <v>148</v>
      </c>
      <c r="J35" s="146" t="s">
        <v>148</v>
      </c>
    </row>
    <row r="36" spans="1:12" ht="13.5" thickBot="1" x14ac:dyDescent="0.35">
      <c r="B36" s="145" t="s">
        <v>151</v>
      </c>
      <c r="C36" s="122" t="s">
        <v>152</v>
      </c>
      <c r="D36" s="144" t="s">
        <v>153</v>
      </c>
      <c r="E36" s="143" t="s">
        <v>154</v>
      </c>
      <c r="F36" s="122" t="s">
        <v>155</v>
      </c>
      <c r="G36" s="122" t="s">
        <v>156</v>
      </c>
      <c r="H36" s="142" t="s">
        <v>157</v>
      </c>
      <c r="I36" s="142" t="s">
        <v>158</v>
      </c>
      <c r="J36" s="141" t="s">
        <v>159</v>
      </c>
    </row>
    <row r="37" spans="1:12" ht="13.5" thickBot="1" x14ac:dyDescent="0.35">
      <c r="A37" s="140" t="s">
        <v>163</v>
      </c>
      <c r="B37" s="134">
        <f>Summary!L11</f>
        <v>46508</v>
      </c>
      <c r="C37" s="139">
        <f>ROUND(IF((B37=0),0,(B38-B37))/30,0)</f>
        <v>12</v>
      </c>
      <c r="D37" s="138">
        <f>Summary!M102</f>
        <v>0</v>
      </c>
      <c r="E37" s="137">
        <f>IF(ISERROR(D37/F42),0,(D37/F42))</f>
        <v>0</v>
      </c>
      <c r="F37" s="136">
        <f>IF(OR($B$38&lt;$K17,$B$37&gt;$L17),0,(MIN($B$38,$L17)-MAX($B$37,$K17)+1))</f>
        <v>0</v>
      </c>
      <c r="G37" s="130">
        <f>ROUND(IF(ISERROR(F37/365),0,(F37/365))*12,0)</f>
        <v>0</v>
      </c>
      <c r="H37" s="129">
        <f>IF(OR($B$38&lt;$K17,$B$37&gt;$L17),0,M17)</f>
        <v>0</v>
      </c>
      <c r="I37" s="128">
        <f>(F37*$E$37)*H37</f>
        <v>0</v>
      </c>
      <c r="J37" s="127">
        <f>IF(ISERROR(I37/H37),0,(I37/H37))</f>
        <v>0</v>
      </c>
    </row>
    <row r="38" spans="1:12" ht="13.5" thickBot="1" x14ac:dyDescent="0.35">
      <c r="A38" s="135" t="s">
        <v>164</v>
      </c>
      <c r="B38" s="134">
        <f>Summary!M11</f>
        <v>46873</v>
      </c>
      <c r="D38" s="132"/>
      <c r="E38" s="131"/>
      <c r="F38" s="130">
        <f>IF(OR($B$38&lt;$K18,$B$37&gt;$L18),0,(MIN($B$38,$L18)-MAX($B$37,$K18)+1))</f>
        <v>0</v>
      </c>
      <c r="G38" s="130">
        <f>ROUND(IF(ISERROR(F38/365),0,(F38/365))*12,0)</f>
        <v>0</v>
      </c>
      <c r="H38" s="129">
        <f>IF(OR($B$38&lt;$K18,$B$37&gt;$L18),0,M18)</f>
        <v>0</v>
      </c>
      <c r="I38" s="128">
        <f>(F38*$E$37)*H38</f>
        <v>0</v>
      </c>
      <c r="J38" s="127">
        <f>IF(ISERROR(I38/H38),0,(I38/H38))</f>
        <v>0</v>
      </c>
      <c r="K38" s="149"/>
      <c r="L38" s="149"/>
    </row>
    <row r="39" spans="1:12" x14ac:dyDescent="0.25">
      <c r="C39" s="133"/>
      <c r="D39" s="132"/>
      <c r="E39" s="131"/>
      <c r="F39" s="130">
        <f>IF(OR($B$38&lt;$K19,$B$37&gt;$L19),0,(MIN($B$38,$L19)-MAX($B$37,$K19)+1))</f>
        <v>0</v>
      </c>
      <c r="G39" s="130">
        <f>ROUND(IF(ISERROR(F39/365),0,(F39/365))*12,0)</f>
        <v>0</v>
      </c>
      <c r="H39" s="129">
        <f>IF(OR($B$38&lt;$K19,$B$37&gt;$L19),0,M19)</f>
        <v>0</v>
      </c>
      <c r="I39" s="128">
        <f>(F39*$E$37)*H39</f>
        <v>0</v>
      </c>
      <c r="J39" s="127">
        <f>IF(ISERROR(I39/H39),0,(I39/H39))</f>
        <v>0</v>
      </c>
      <c r="K39" s="149"/>
      <c r="L39" s="149"/>
    </row>
    <row r="40" spans="1:12" x14ac:dyDescent="0.25">
      <c r="C40" s="133"/>
      <c r="D40" s="132"/>
      <c r="E40" s="131"/>
      <c r="F40" s="130">
        <f>IF(OR($B$38&lt;$K20,$B$37&gt;$L20),0,(MIN($B$38,$L20)-MAX($B$37,$K20)+1))</f>
        <v>0</v>
      </c>
      <c r="G40" s="130">
        <f>ROUND(IF(ISERROR(F40/365),0,(F40/365))*12,0)</f>
        <v>0</v>
      </c>
      <c r="H40" s="129">
        <f>IF(OR($B$38&lt;$K20,$B$37&gt;$L20),0,M20)</f>
        <v>0</v>
      </c>
      <c r="I40" s="128">
        <f>(F40*$E$37)*H40</f>
        <v>0</v>
      </c>
      <c r="J40" s="127">
        <f>IF(ISERROR(I40/H40),0,(I40/H40))</f>
        <v>0</v>
      </c>
      <c r="K40" s="149"/>
      <c r="L40" s="149"/>
    </row>
    <row r="41" spans="1:12" x14ac:dyDescent="0.25">
      <c r="B41" s="126"/>
      <c r="C41" s="125"/>
      <c r="D41" s="124"/>
      <c r="E41" s="123"/>
      <c r="F41" s="122">
        <f>IF(OR($B$38&lt;$K21,$B$37&gt;$L21),0,(MIN($B$38,$L21)-MAX($B$37,$K21)+1))</f>
        <v>366</v>
      </c>
      <c r="G41" s="122">
        <f>ROUND(IF(ISERROR(F41/365),0,(F41/365))*12,0)</f>
        <v>12</v>
      </c>
      <c r="H41" s="121">
        <f>IF(OR($B$38&lt;$K21,$B$37&gt;$L21),0,M21)</f>
        <v>0.53</v>
      </c>
      <c r="I41" s="120">
        <f>(F41*$E$37)*H41</f>
        <v>0</v>
      </c>
      <c r="J41" s="119">
        <f>IF(ISERROR(I41/H41),0,(I41/H41))</f>
        <v>0</v>
      </c>
    </row>
    <row r="42" spans="1:12" ht="13" x14ac:dyDescent="0.3">
      <c r="B42" s="118" t="s">
        <v>165</v>
      </c>
      <c r="C42" s="117"/>
      <c r="D42" s="116">
        <f>SUM(D37:D41)</f>
        <v>0</v>
      </c>
      <c r="E42" s="115"/>
      <c r="F42" s="114">
        <f>SUM(F37:F41)</f>
        <v>366</v>
      </c>
      <c r="G42" s="114">
        <f>SUM(G37:G41)</f>
        <v>12</v>
      </c>
      <c r="H42" s="113">
        <f>AVERAGEIF(H37:H41,"&lt;&gt;0")</f>
        <v>0.53</v>
      </c>
      <c r="I42" s="112">
        <f>SUM(I37:I41)</f>
        <v>0</v>
      </c>
      <c r="J42" s="111">
        <f>SUM(J37:J41)</f>
        <v>0</v>
      </c>
      <c r="K42" s="149"/>
    </row>
    <row r="43" spans="1:12" x14ac:dyDescent="0.25">
      <c r="F43" s="146"/>
      <c r="K43" s="149"/>
    </row>
    <row r="44" spans="1:12" x14ac:dyDescent="0.25">
      <c r="F44" s="146"/>
    </row>
    <row r="45" spans="1:12" ht="13.5" thickBot="1" x14ac:dyDescent="0.35">
      <c r="A45" s="148" t="s">
        <v>168</v>
      </c>
      <c r="B45" s="145" t="s">
        <v>147</v>
      </c>
      <c r="C45" s="146" t="s">
        <v>148</v>
      </c>
      <c r="D45" s="147" t="s">
        <v>149</v>
      </c>
      <c r="E45" s="146" t="s">
        <v>148</v>
      </c>
      <c r="F45" s="146"/>
      <c r="G45" s="146" t="s">
        <v>148</v>
      </c>
      <c r="I45" s="146" t="s">
        <v>148</v>
      </c>
      <c r="J45" s="146" t="s">
        <v>148</v>
      </c>
      <c r="K45" s="149"/>
    </row>
    <row r="46" spans="1:12" ht="13.5" thickBot="1" x14ac:dyDescent="0.35">
      <c r="B46" s="145" t="s">
        <v>151</v>
      </c>
      <c r="C46" s="122" t="s">
        <v>152</v>
      </c>
      <c r="D46" s="144" t="s">
        <v>153</v>
      </c>
      <c r="E46" s="143" t="s">
        <v>154</v>
      </c>
      <c r="F46" s="122" t="s">
        <v>155</v>
      </c>
      <c r="G46" s="122" t="s">
        <v>156</v>
      </c>
      <c r="H46" s="142" t="s">
        <v>157</v>
      </c>
      <c r="I46" s="142" t="s">
        <v>158</v>
      </c>
      <c r="J46" s="141" t="s">
        <v>159</v>
      </c>
    </row>
    <row r="47" spans="1:12" ht="13.5" thickBot="1" x14ac:dyDescent="0.35">
      <c r="A47" s="140" t="s">
        <v>163</v>
      </c>
      <c r="B47" s="134">
        <f>Summary!N11</f>
        <v>46874</v>
      </c>
      <c r="C47" s="139">
        <f>ROUND(IF((B47=0),0,(B48-B47))/30,0)</f>
        <v>12</v>
      </c>
      <c r="D47" s="138">
        <f>Summary!O102</f>
        <v>0</v>
      </c>
      <c r="E47" s="137">
        <f>IF(ISERROR(D47/F52),0,(D47/F52))</f>
        <v>0</v>
      </c>
      <c r="F47" s="136">
        <f>IF(OR($B$48&lt;$K17,$B$47&gt;$L17),0,(MIN($B$48,$L17)-MAX($B$47,$K17)+1))</f>
        <v>0</v>
      </c>
      <c r="G47" s="130">
        <f>ROUND(IF(ISERROR(F47/365),0,(F47/365))*12,0)</f>
        <v>0</v>
      </c>
      <c r="H47" s="129">
        <f>IF(OR($B$48&lt;$K17,$B$47&gt;$L17),0,M17)</f>
        <v>0</v>
      </c>
      <c r="I47" s="128">
        <f>(F47*$E$47)*H47</f>
        <v>0</v>
      </c>
      <c r="J47" s="127">
        <f>IF(ISERROR(I47/H47),0,(I47/H47))</f>
        <v>0</v>
      </c>
    </row>
    <row r="48" spans="1:12" ht="13.5" thickBot="1" x14ac:dyDescent="0.35">
      <c r="A48" s="135" t="s">
        <v>164</v>
      </c>
      <c r="B48" s="134">
        <f>Summary!O11</f>
        <v>47238</v>
      </c>
      <c r="D48" s="132"/>
      <c r="E48" s="131"/>
      <c r="F48" s="130">
        <f>IF(OR($B$48&lt;$K18,$B$47&gt;$L18),0,(MIN($B$48,$L18)-MAX($B$47,$K18)+1))</f>
        <v>0</v>
      </c>
      <c r="G48" s="130">
        <f>ROUND(IF(ISERROR(F48/365),0,(F48/365))*12,0)</f>
        <v>0</v>
      </c>
      <c r="H48" s="129">
        <f>IF(OR($B$48&lt;$K18,$B$47&gt;$L18),0,M18)</f>
        <v>0</v>
      </c>
      <c r="I48" s="128">
        <f>(F48*$E$47)*H48</f>
        <v>0</v>
      </c>
      <c r="J48" s="127">
        <f>IF(ISERROR(I48/H48),0,(I48/H48))</f>
        <v>0</v>
      </c>
      <c r="K48" s="150"/>
    </row>
    <row r="49" spans="1:11" x14ac:dyDescent="0.25">
      <c r="C49" s="133"/>
      <c r="D49" s="132"/>
      <c r="E49" s="131"/>
      <c r="F49" s="130">
        <f>IF(OR($B$48&lt;$K19,$B$47&gt;$L19),0,(MIN($B$48,$L19)-MAX($B$47,$K19)+1))</f>
        <v>0</v>
      </c>
      <c r="G49" s="130">
        <f>ROUND(IF(ISERROR(F49/365),0,(F49/365))*12,0)</f>
        <v>0</v>
      </c>
      <c r="H49" s="129">
        <f>IF(OR($B$48&lt;$K19,$B$47&gt;$L19),0,M19)</f>
        <v>0</v>
      </c>
      <c r="I49" s="128">
        <f>(F49*$E$47)*H49</f>
        <v>0</v>
      </c>
      <c r="J49" s="127">
        <f>IF(ISERROR(I49/H49),0,(I49/H49))</f>
        <v>0</v>
      </c>
    </row>
    <row r="50" spans="1:11" x14ac:dyDescent="0.25">
      <c r="C50" s="133"/>
      <c r="D50" s="132"/>
      <c r="E50" s="131"/>
      <c r="F50" s="130">
        <f>IF(OR($B$48&lt;$K20,$B$47&gt;$L20),0,(MIN($B$48,$L20)-MAX($B$47,$K20)+1))</f>
        <v>0</v>
      </c>
      <c r="G50" s="130">
        <f>ROUND(IF(ISERROR(F50/365),0,(F50/365))*12,0)</f>
        <v>0</v>
      </c>
      <c r="H50" s="129">
        <f>IF(OR($B$48&lt;$K20,$B$47&gt;$L20),0,M20)</f>
        <v>0</v>
      </c>
      <c r="I50" s="128">
        <f>(F50*$E$47)*H50</f>
        <v>0</v>
      </c>
      <c r="J50" s="127">
        <f>IF(ISERROR(I50/H50),0,(I50/H50))</f>
        <v>0</v>
      </c>
      <c r="K50" s="150"/>
    </row>
    <row r="51" spans="1:11" x14ac:dyDescent="0.25">
      <c r="B51" s="126"/>
      <c r="C51" s="125"/>
      <c r="D51" s="124"/>
      <c r="E51" s="123"/>
      <c r="F51" s="122">
        <f>IF(OR($B$48&lt;$K21,$B$47&gt;$L21),0,(MIN($B$48,$L21)-MAX($B$47,$K21)+1))</f>
        <v>365</v>
      </c>
      <c r="G51" s="122">
        <f>ROUND(IF(ISERROR(F51/365),0,(F51/365))*12,0)</f>
        <v>12</v>
      </c>
      <c r="H51" s="121">
        <f>IF(OR($B$48&lt;$K21,$B$47&gt;$L21),0,M21)</f>
        <v>0.53</v>
      </c>
      <c r="I51" s="120">
        <f>(F51*$E$47)*H51</f>
        <v>0</v>
      </c>
      <c r="J51" s="119">
        <f>IF(ISERROR(I51/H51),0,(I51/H51))</f>
        <v>0</v>
      </c>
    </row>
    <row r="52" spans="1:11" ht="13" x14ac:dyDescent="0.3">
      <c r="B52" s="118" t="s">
        <v>165</v>
      </c>
      <c r="C52" s="117"/>
      <c r="D52" s="116">
        <f>SUM(D47:D51)</f>
        <v>0</v>
      </c>
      <c r="E52" s="115"/>
      <c r="F52" s="114">
        <f>SUM(F47:F51)</f>
        <v>365</v>
      </c>
      <c r="G52" s="114">
        <f>SUM(G47:G51)</f>
        <v>12</v>
      </c>
      <c r="H52" s="113">
        <f>AVERAGEIF(H47:H51,"&lt;&gt;0")</f>
        <v>0.53</v>
      </c>
      <c r="I52" s="112">
        <f>SUM(I47:I51)</f>
        <v>0</v>
      </c>
      <c r="J52" s="111">
        <f>SUM(J47:J51)</f>
        <v>0</v>
      </c>
    </row>
    <row r="53" spans="1:11" x14ac:dyDescent="0.25">
      <c r="F53" s="146"/>
    </row>
    <row r="54" spans="1:11" x14ac:dyDescent="0.25">
      <c r="F54" s="146"/>
    </row>
    <row r="55" spans="1:11" ht="13.5" thickBot="1" x14ac:dyDescent="0.35">
      <c r="A55" s="148" t="s">
        <v>169</v>
      </c>
      <c r="B55" s="145" t="s">
        <v>147</v>
      </c>
      <c r="C55" s="146" t="s">
        <v>148</v>
      </c>
      <c r="D55" s="147" t="s">
        <v>149</v>
      </c>
      <c r="E55" s="146" t="s">
        <v>148</v>
      </c>
      <c r="F55" s="146"/>
      <c r="G55" s="146" t="s">
        <v>148</v>
      </c>
      <c r="I55" s="146" t="s">
        <v>148</v>
      </c>
      <c r="J55" s="146" t="s">
        <v>148</v>
      </c>
    </row>
    <row r="56" spans="1:11" ht="13.5" thickBot="1" x14ac:dyDescent="0.35">
      <c r="B56" s="145" t="s">
        <v>151</v>
      </c>
      <c r="C56" s="122" t="s">
        <v>152</v>
      </c>
      <c r="D56" s="144" t="s">
        <v>153</v>
      </c>
      <c r="E56" s="143" t="s">
        <v>154</v>
      </c>
      <c r="F56" s="122" t="s">
        <v>155</v>
      </c>
      <c r="G56" s="122" t="s">
        <v>156</v>
      </c>
      <c r="H56" s="142" t="s">
        <v>157</v>
      </c>
      <c r="I56" s="142" t="s">
        <v>158</v>
      </c>
      <c r="J56" s="141" t="s">
        <v>159</v>
      </c>
      <c r="K56" s="149"/>
    </row>
    <row r="57" spans="1:11" ht="13.5" thickBot="1" x14ac:dyDescent="0.35">
      <c r="A57" s="140" t="s">
        <v>163</v>
      </c>
      <c r="B57" s="134">
        <f>Summary!P11</f>
        <v>47239</v>
      </c>
      <c r="C57" s="139">
        <f>ROUND(IF((B57=0),0,(B58-B57))/30,0)</f>
        <v>12</v>
      </c>
      <c r="D57" s="138">
        <f>Summary!Q102</f>
        <v>0</v>
      </c>
      <c r="E57" s="137">
        <f>IF(ISERROR(D57/F62),0,(D57/F62))</f>
        <v>0</v>
      </c>
      <c r="F57" s="136">
        <f>IF(OR($B$58&lt;$K17,$B$57&gt;$L17),0,(MIN($B$58,$L17)-MAX($B$57,$K17)+1))</f>
        <v>0</v>
      </c>
      <c r="G57" s="130">
        <f>ROUND(IF(ISERROR(F57/365),0,(F57/365))*12,0)</f>
        <v>0</v>
      </c>
      <c r="H57" s="129">
        <f>IF(OR($B$58&lt;$K17,$B$57&gt;$L17),0,M17)</f>
        <v>0</v>
      </c>
      <c r="I57" s="128">
        <f>(F57*$E$57)*H57</f>
        <v>0</v>
      </c>
      <c r="J57" s="127">
        <f>IF(ISERROR(I57/H57),0,(I57/H57))</f>
        <v>0</v>
      </c>
    </row>
    <row r="58" spans="1:11" ht="13.5" thickBot="1" x14ac:dyDescent="0.35">
      <c r="A58" s="135" t="s">
        <v>164</v>
      </c>
      <c r="B58" s="134">
        <f>Summary!Q11</f>
        <v>47603</v>
      </c>
      <c r="D58" s="132"/>
      <c r="E58" s="131"/>
      <c r="F58" s="130">
        <f>IF(OR($B$58&lt;$K18,$B$57&gt;$L18),0,(MIN($B$58,$L18)-MAX($B$57,$K18)+1))</f>
        <v>0</v>
      </c>
      <c r="G58" s="130">
        <f>ROUND(IF(ISERROR(F58/365),0,(F58/365))*12,0)</f>
        <v>0</v>
      </c>
      <c r="H58" s="129">
        <f>IF(OR($B$58&lt;$K18,$B$57&gt;$L18),0,M18)</f>
        <v>0</v>
      </c>
      <c r="I58" s="128">
        <f>(F58*$E$57)*H58</f>
        <v>0</v>
      </c>
      <c r="J58" s="127">
        <f>IF(ISERROR(I58/H58),0,(I58/H58))</f>
        <v>0</v>
      </c>
    </row>
    <row r="59" spans="1:11" x14ac:dyDescent="0.25">
      <c r="C59" s="133"/>
      <c r="D59" s="132"/>
      <c r="E59" s="131"/>
      <c r="F59" s="130">
        <f>IF(OR($B$58&lt;$K19,$B$57&gt;$L19),0,(MIN($B$58,$L19)-MAX($B$57,$K19)+1))</f>
        <v>0</v>
      </c>
      <c r="G59" s="130">
        <f>ROUND(IF(ISERROR(F59/365),0,(F59/365))*12,0)</f>
        <v>0</v>
      </c>
      <c r="H59" s="129">
        <f>IF(OR($B$58&lt;$K19,$B$57&gt;$L19),0,M19)</f>
        <v>0</v>
      </c>
      <c r="I59" s="128">
        <f>(F59*$E$57)*H59</f>
        <v>0</v>
      </c>
      <c r="J59" s="127">
        <f>IF(ISERROR(I59/H59),0,(I59/H59))</f>
        <v>0</v>
      </c>
    </row>
    <row r="60" spans="1:11" x14ac:dyDescent="0.25">
      <c r="C60" s="133"/>
      <c r="D60" s="132"/>
      <c r="E60" s="131"/>
      <c r="F60" s="130">
        <f>IF(OR($B$58&lt;$K20,$B$57&gt;$L20),0,(MIN($B$58,$L20)-MAX($B$57,$K20)+1))</f>
        <v>0</v>
      </c>
      <c r="G60" s="130">
        <f>ROUND(IF(ISERROR(F60/365),0,(F60/365))*12,0)</f>
        <v>0</v>
      </c>
      <c r="H60" s="129">
        <f>IF(OR($B$58&lt;$K20,$B$57&gt;$L20),0,M20)</f>
        <v>0</v>
      </c>
      <c r="I60" s="128">
        <f>(F60*$E$57)*H60</f>
        <v>0</v>
      </c>
      <c r="J60" s="127">
        <f>IF(ISERROR(I60/H60),0,(I60/H60))</f>
        <v>0</v>
      </c>
    </row>
    <row r="61" spans="1:11" x14ac:dyDescent="0.25">
      <c r="B61" s="126"/>
      <c r="C61" s="125"/>
      <c r="D61" s="124"/>
      <c r="E61" s="123"/>
      <c r="F61" s="122">
        <f>IF(OR($B$58&lt;$K21,$B$57&gt;$L21),0,(MIN($B$58,$L21)-MAX($B$57,$K21)+1))</f>
        <v>365</v>
      </c>
      <c r="G61" s="122">
        <f>ROUND(IF(ISERROR(F61/365),0,(F61/365))*12,0)</f>
        <v>12</v>
      </c>
      <c r="H61" s="121">
        <f>IF(OR($B$58&lt;$K21,$B$57&gt;$L21),0,M21)</f>
        <v>0.53</v>
      </c>
      <c r="I61" s="120">
        <f>(F61*$E$57)*H61</f>
        <v>0</v>
      </c>
      <c r="J61" s="119">
        <f>IF(ISERROR(I61/H61),0,(I61/H61))</f>
        <v>0</v>
      </c>
    </row>
    <row r="62" spans="1:11" ht="13" x14ac:dyDescent="0.3">
      <c r="B62" s="118" t="s">
        <v>165</v>
      </c>
      <c r="C62" s="117"/>
      <c r="D62" s="116">
        <f>SUM(D57:D61)</f>
        <v>0</v>
      </c>
      <c r="E62" s="115"/>
      <c r="F62" s="114">
        <f>SUM(F57:F61)</f>
        <v>365</v>
      </c>
      <c r="G62" s="114">
        <f>SUM(G57:G61)</f>
        <v>12</v>
      </c>
      <c r="H62" s="113">
        <f>AVERAGEIF(H57:H61,"&lt;&gt;0")</f>
        <v>0.53</v>
      </c>
      <c r="I62" s="112">
        <f>SUM(I57:I61)</f>
        <v>0</v>
      </c>
      <c r="J62" s="111">
        <f>SUM(J57:J61)</f>
        <v>0</v>
      </c>
    </row>
    <row r="63" spans="1:11" x14ac:dyDescent="0.25">
      <c r="F63" s="146"/>
    </row>
    <row r="64" spans="1:11" x14ac:dyDescent="0.25">
      <c r="F64" s="146"/>
    </row>
    <row r="65" spans="1:10" ht="13.5" thickBot="1" x14ac:dyDescent="0.35">
      <c r="A65" s="148" t="s">
        <v>170</v>
      </c>
      <c r="B65" s="145" t="s">
        <v>147</v>
      </c>
      <c r="C65" s="146" t="s">
        <v>148</v>
      </c>
      <c r="D65" s="147" t="s">
        <v>149</v>
      </c>
      <c r="E65" s="146" t="s">
        <v>148</v>
      </c>
      <c r="F65" s="146"/>
      <c r="G65" s="146" t="s">
        <v>148</v>
      </c>
      <c r="I65" s="146" t="s">
        <v>148</v>
      </c>
      <c r="J65" s="146" t="s">
        <v>148</v>
      </c>
    </row>
    <row r="66" spans="1:10" ht="13.5" thickBot="1" x14ac:dyDescent="0.35">
      <c r="B66" s="145" t="s">
        <v>151</v>
      </c>
      <c r="C66" s="122" t="s">
        <v>152</v>
      </c>
      <c r="D66" s="144" t="s">
        <v>153</v>
      </c>
      <c r="E66" s="143" t="s">
        <v>154</v>
      </c>
      <c r="F66" s="122" t="s">
        <v>155</v>
      </c>
      <c r="G66" s="122" t="s">
        <v>156</v>
      </c>
      <c r="H66" s="142" t="s">
        <v>157</v>
      </c>
      <c r="I66" s="142" t="s">
        <v>158</v>
      </c>
      <c r="J66" s="141" t="s">
        <v>159</v>
      </c>
    </row>
    <row r="67" spans="1:10" ht="13.5" thickBot="1" x14ac:dyDescent="0.35">
      <c r="A67" s="140" t="s">
        <v>163</v>
      </c>
      <c r="B67" s="134"/>
      <c r="C67" s="139">
        <f>ROUND(IF((B67=0),0,(B68-B67))/30,0)</f>
        <v>0</v>
      </c>
      <c r="D67" s="138">
        <v>0</v>
      </c>
      <c r="E67" s="137">
        <f>IF(ISERROR(D67/F72),0,(D67/F72))</f>
        <v>0</v>
      </c>
      <c r="F67" s="136">
        <f>IF(OR($B$68&lt;$K17,$B$67&gt;$L17),0,(MIN($B$68,$L17)-MAX($B$67,$K17)+1))</f>
        <v>0</v>
      </c>
      <c r="G67" s="130">
        <f>ROUND(IF(ISERROR(F67/365),0,(F67/365))*12,0)</f>
        <v>0</v>
      </c>
      <c r="H67" s="129">
        <f>IF(OR($B$68&lt;$K17,$B$67&gt;$L17),0,M17)</f>
        <v>0</v>
      </c>
      <c r="I67" s="128">
        <f>(F67*$E$67)*H67</f>
        <v>0</v>
      </c>
      <c r="J67" s="127">
        <f>IF(ISERROR(I67/H67),0,(I67/H67))</f>
        <v>0</v>
      </c>
    </row>
    <row r="68" spans="1:10" ht="13.5" thickBot="1" x14ac:dyDescent="0.35">
      <c r="A68" s="135" t="s">
        <v>164</v>
      </c>
      <c r="B68" s="134"/>
      <c r="D68" s="132"/>
      <c r="E68" s="131"/>
      <c r="F68" s="130">
        <f>IF(OR($B$68&lt;$K18,$B$67&gt;$L18),0,(MIN($B$68,$L18)-MAX($B$67,$K18)+1))</f>
        <v>0</v>
      </c>
      <c r="G68" s="130">
        <f>ROUND(IF(ISERROR(F68/365),0,(F68/365))*12,0)</f>
        <v>0</v>
      </c>
      <c r="H68" s="129">
        <f>IF(OR($B$68&lt;$K18,$B$67&gt;$L18),0,M18)</f>
        <v>0</v>
      </c>
      <c r="I68" s="128">
        <f>(F68*$E$67)*H68</f>
        <v>0</v>
      </c>
      <c r="J68" s="127">
        <f>IF(ISERROR(I68/H68),0,(I68/H68))</f>
        <v>0</v>
      </c>
    </row>
    <row r="69" spans="1:10" x14ac:dyDescent="0.25">
      <c r="C69" s="133"/>
      <c r="D69" s="132"/>
      <c r="E69" s="131"/>
      <c r="F69" s="130">
        <f>IF(OR($B$68&lt;$K19,$B$67&gt;$L19),0,(MIN($B$68,$L19)-MAX($B$67,$K19)+1))</f>
        <v>0</v>
      </c>
      <c r="G69" s="130">
        <f>ROUND(IF(ISERROR(F69/365),0,(F69/365))*12,0)</f>
        <v>0</v>
      </c>
      <c r="H69" s="129">
        <f>IF(OR($B$68&lt;$K19,$B$67&gt;$L19),0,M19)</f>
        <v>0</v>
      </c>
      <c r="I69" s="128">
        <f>(F69*$E$67)*H69</f>
        <v>0</v>
      </c>
      <c r="J69" s="127">
        <f>IF(ISERROR(I69/H69),0,(I69/H69))</f>
        <v>0</v>
      </c>
    </row>
    <row r="70" spans="1:10" x14ac:dyDescent="0.25">
      <c r="C70" s="133"/>
      <c r="D70" s="132"/>
      <c r="E70" s="131"/>
      <c r="F70" s="130">
        <f>IF(OR($B$68&lt;$K20,$B$67&gt;$L20),0,(MIN($B$68,$L20)-MAX($B$67,$K20)+1))</f>
        <v>0</v>
      </c>
      <c r="G70" s="130">
        <f>ROUND(IF(ISERROR(F70/365),0,(F70/365))*12,0)</f>
        <v>0</v>
      </c>
      <c r="H70" s="129">
        <f>IF(OR($B$68&lt;$K20,$B$67&gt;$L20),0,M20)</f>
        <v>0</v>
      </c>
      <c r="I70" s="128">
        <f>(F70*$E$67)*H70</f>
        <v>0</v>
      </c>
      <c r="J70" s="127">
        <f>IF(ISERROR(I70/H70),0,(I70/H70))</f>
        <v>0</v>
      </c>
    </row>
    <row r="71" spans="1:10" x14ac:dyDescent="0.25">
      <c r="B71" s="126"/>
      <c r="C71" s="125"/>
      <c r="D71" s="124"/>
      <c r="E71" s="123"/>
      <c r="F71" s="122">
        <f>IF(OR($B$68&lt;$K21,$B$67&gt;$L21),0,(MIN($B$68,$L21)-MAX($B$67,$K21)+1))</f>
        <v>0</v>
      </c>
      <c r="G71" s="122">
        <f>ROUND(IF(ISERROR(F71/365),0,(F71/365))*12,0)</f>
        <v>0</v>
      </c>
      <c r="H71" s="121">
        <f>IF(OR($B$68&lt;$K21,$B$67&gt;$L21),0,M21)</f>
        <v>0</v>
      </c>
      <c r="I71" s="120">
        <f>(F71*$E$67)*H71</f>
        <v>0</v>
      </c>
      <c r="J71" s="119">
        <f>IF(ISERROR(I71/H71),0,(I71/H71))</f>
        <v>0</v>
      </c>
    </row>
    <row r="72" spans="1:10" ht="13" x14ac:dyDescent="0.3">
      <c r="B72" s="118" t="s">
        <v>165</v>
      </c>
      <c r="C72" s="117"/>
      <c r="D72" s="116">
        <f>SUM(D67:D71)</f>
        <v>0</v>
      </c>
      <c r="E72" s="115"/>
      <c r="F72" s="114">
        <f>SUM(F67:F71)</f>
        <v>0</v>
      </c>
      <c r="G72" s="114">
        <f>SUM(G67:G71)</f>
        <v>0</v>
      </c>
      <c r="H72" s="113" t="e">
        <f>AVERAGEIF(H67:H71,"&lt;&gt;0")</f>
        <v>#DIV/0!</v>
      </c>
      <c r="I72" s="112">
        <f>SUM(I67:I71)</f>
        <v>0</v>
      </c>
      <c r="J72" s="111">
        <f>SUM(J67:J71)</f>
        <v>0</v>
      </c>
    </row>
    <row r="73" spans="1:10" x14ac:dyDescent="0.25">
      <c r="F73" s="146"/>
    </row>
    <row r="74" spans="1:10" x14ac:dyDescent="0.25">
      <c r="F74" s="146"/>
    </row>
    <row r="75" spans="1:10" ht="13.5" thickBot="1" x14ac:dyDescent="0.35">
      <c r="A75" s="148" t="s">
        <v>171</v>
      </c>
      <c r="B75" s="145" t="s">
        <v>147</v>
      </c>
      <c r="C75" s="146" t="s">
        <v>148</v>
      </c>
      <c r="D75" s="147" t="s">
        <v>149</v>
      </c>
      <c r="E75" s="146" t="s">
        <v>148</v>
      </c>
      <c r="F75" s="146"/>
      <c r="G75" s="146" t="s">
        <v>148</v>
      </c>
      <c r="I75" s="146" t="s">
        <v>148</v>
      </c>
      <c r="J75" s="146" t="s">
        <v>148</v>
      </c>
    </row>
    <row r="76" spans="1:10" ht="13.5" thickBot="1" x14ac:dyDescent="0.35">
      <c r="B76" s="145" t="s">
        <v>151</v>
      </c>
      <c r="C76" s="122" t="s">
        <v>152</v>
      </c>
      <c r="D76" s="144" t="s">
        <v>153</v>
      </c>
      <c r="E76" s="143" t="s">
        <v>154</v>
      </c>
      <c r="F76" s="122" t="s">
        <v>155</v>
      </c>
      <c r="G76" s="122" t="s">
        <v>156</v>
      </c>
      <c r="H76" s="142" t="s">
        <v>157</v>
      </c>
      <c r="I76" s="142" t="s">
        <v>158</v>
      </c>
      <c r="J76" s="141" t="s">
        <v>159</v>
      </c>
    </row>
    <row r="77" spans="1:10" ht="13.5" thickBot="1" x14ac:dyDescent="0.35">
      <c r="A77" s="140" t="s">
        <v>163</v>
      </c>
      <c r="B77" s="134"/>
      <c r="C77" s="139">
        <f>ROUND(IF((B77=0),0,(B78-B77))/30,0)</f>
        <v>0</v>
      </c>
      <c r="D77" s="138">
        <v>0</v>
      </c>
      <c r="E77" s="137">
        <f>IF(ISERROR(D77/F82),0,(D77/F82))</f>
        <v>0</v>
      </c>
      <c r="F77" s="136">
        <f>IF(OR($B$78&lt;$K17,$B$77&gt;$L17),0,(MIN($B$78,$L17)-MAX($B$77,$K17)+1))</f>
        <v>0</v>
      </c>
      <c r="G77" s="130">
        <f>ROUND(IF(ISERROR(F77/365),0,(F77/365))*12,0)</f>
        <v>0</v>
      </c>
      <c r="H77" s="129">
        <f>IF(OR($B$78&lt;$K17,$B$77&gt;$L17),0,M17)</f>
        <v>0</v>
      </c>
      <c r="I77" s="128">
        <f>(F77*$E$77)*H77</f>
        <v>0</v>
      </c>
      <c r="J77" s="127">
        <f>IF(ISERROR(I77/H77),0,(I77/H77))</f>
        <v>0</v>
      </c>
    </row>
    <row r="78" spans="1:10" ht="13.5" thickBot="1" x14ac:dyDescent="0.35">
      <c r="A78" s="135" t="s">
        <v>164</v>
      </c>
      <c r="B78" s="134"/>
      <c r="D78" s="132"/>
      <c r="E78" s="131"/>
      <c r="F78" s="130">
        <f>IF(OR($B$78&lt;$K18,$B$77&gt;$L18),0,(MIN($B$78,$L18)-MAX($B$77,$K18)+1))</f>
        <v>0</v>
      </c>
      <c r="G78" s="130">
        <f>ROUND(IF(ISERROR(F78/365),0,(F78/365))*12,0)</f>
        <v>0</v>
      </c>
      <c r="H78" s="129">
        <f>IF(OR($B$78&lt;$K18,$B$77&gt;$L18),0,M18)</f>
        <v>0</v>
      </c>
      <c r="I78" s="128">
        <f>(F78*$E$77)*H78</f>
        <v>0</v>
      </c>
      <c r="J78" s="127">
        <f>IF(ISERROR(I78/H78),0,(I78/H78))</f>
        <v>0</v>
      </c>
    </row>
    <row r="79" spans="1:10" x14ac:dyDescent="0.25">
      <c r="C79" s="133"/>
      <c r="D79" s="132"/>
      <c r="E79" s="131"/>
      <c r="F79" s="130">
        <f>IF(OR($B$78&lt;$K19,$B$77&gt;$L19),0,(MIN($B$78,$L19)-MAX($B$77,$K19)+1))</f>
        <v>0</v>
      </c>
      <c r="G79" s="130">
        <f>ROUND(IF(ISERROR(F79/365),0,(F79/365))*12,0)</f>
        <v>0</v>
      </c>
      <c r="H79" s="129">
        <f>IF(OR($B$78&lt;$K19,$B$77&gt;$L19),0,M19)</f>
        <v>0</v>
      </c>
      <c r="I79" s="128">
        <f>(F79*$E$77)*H79</f>
        <v>0</v>
      </c>
      <c r="J79" s="127">
        <f>IF(ISERROR(I79/H79),0,(I79/H79))</f>
        <v>0</v>
      </c>
    </row>
    <row r="80" spans="1:10" x14ac:dyDescent="0.25">
      <c r="C80" s="133"/>
      <c r="D80" s="132"/>
      <c r="E80" s="131"/>
      <c r="F80" s="130">
        <f>IF(OR($B$78&lt;$K20,$B$77&gt;$L20),0,(MIN($B$78,$L20)-MAX($B$77,$K20)+1))</f>
        <v>0</v>
      </c>
      <c r="G80" s="130">
        <f>ROUND(IF(ISERROR(F80/365),0,(F80/365))*12,0)</f>
        <v>0</v>
      </c>
      <c r="H80" s="129">
        <f>IF(OR($B$78&lt;$K20,$B$77&gt;$L20),0,M20)</f>
        <v>0</v>
      </c>
      <c r="I80" s="128">
        <f>(F80*$E$77)*H80</f>
        <v>0</v>
      </c>
      <c r="J80" s="127">
        <f>IF(ISERROR(I80/H80),0,(I80/H80))</f>
        <v>0</v>
      </c>
    </row>
    <row r="81" spans="2:10" x14ac:dyDescent="0.25">
      <c r="B81" s="126"/>
      <c r="C81" s="125"/>
      <c r="D81" s="124"/>
      <c r="E81" s="123"/>
      <c r="F81" s="122">
        <f>IF(OR($B$78&lt;$K21,$B$77&gt;$L21),0,(MIN($B$78,$L21)-MAX($B$77,$K21)+1))</f>
        <v>0</v>
      </c>
      <c r="G81" s="122">
        <f>ROUND(IF(ISERROR(F81/365),0,(F81/365))*12,0)</f>
        <v>0</v>
      </c>
      <c r="H81" s="121">
        <f>IF(OR($B$78&lt;$K21,$B$77&gt;$L21),0,M21)</f>
        <v>0</v>
      </c>
      <c r="I81" s="120">
        <f>(F81*$E$77)*H81</f>
        <v>0</v>
      </c>
      <c r="J81" s="119">
        <f>IF(ISERROR(I81/H81),0,(I81/H81))</f>
        <v>0</v>
      </c>
    </row>
    <row r="82" spans="2:10" ht="13" x14ac:dyDescent="0.3">
      <c r="B82" s="118" t="s">
        <v>165</v>
      </c>
      <c r="C82" s="117"/>
      <c r="D82" s="116">
        <f>SUM(D77:D81)</f>
        <v>0</v>
      </c>
      <c r="E82" s="115"/>
      <c r="F82" s="114">
        <f>SUM(F77:F81)</f>
        <v>0</v>
      </c>
      <c r="G82" s="114">
        <f>SUM(G77:G81)</f>
        <v>0</v>
      </c>
      <c r="H82" s="113" t="e">
        <f>AVERAGEIF(H77:H81,"&lt;&gt;0")</f>
        <v>#DIV/0!</v>
      </c>
      <c r="I82" s="112">
        <f>SUM(I77:I81)</f>
        <v>0</v>
      </c>
      <c r="J82" s="111">
        <f>SUM(J77:J81)</f>
        <v>0</v>
      </c>
    </row>
  </sheetData>
  <sheetProtection selectLockedCells="1"/>
  <dataValidations count="10">
    <dataValidation type="custom" operator="greaterThan" allowBlank="1" showInputMessage="1" showErrorMessage="1" errorTitle="MTDC Amount" error="This amount must be greater than 0." promptTitle="MTDC" prompt="Enter the Modified Total Direct Cost amount (the amount that is eligible for F&amp;A)." sqref="D37" xr:uid="{00000000-0002-0000-0200-000000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xr:uid="{00000000-0002-0000-0200-000001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xr:uid="{00000000-0002-0000-0200-000002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xr:uid="{00000000-0002-0000-0200-000003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xr:uid="{00000000-0002-0000-0200-000004000000}">
      <formula1>IF(C57=0,D57=0,D57&gt;0)</formula1>
    </dataValidation>
    <dataValidation type="date" allowBlank="1" showInputMessage="1" showErrorMessage="1" errorTitle="Project Start Date" error="The Project Start date must be less than or equal to the Project End Date." sqref="B17" xr:uid="{00000000-0002-0000-0200-000005000000}">
      <formula1>40179</formula1>
      <formula2>47848</formula2>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xr:uid="{00000000-0002-0000-0200-000006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xr:uid="{00000000-0002-0000-0200-000007000000}">
      <formula1>IF(C57=0,D57=0,D57&gt;0)</formula1>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xr:uid="{00000000-0002-0000-0200-000008000000}">
      <formula1>B17</formula1>
    </dataValidation>
    <dataValidation type="date" allowBlank="1" showInputMessage="1" showErrorMessage="1" errorTitle="Project Start Date" error="The Project Start date must be less than or equal to the Project End Date." sqref="B47 B27 B57 B67 B77 B37" xr:uid="{00000000-0002-0000-0200-000009000000}">
      <formula1>41275</formula1>
      <formula2>47848</formula2>
    </dataValidation>
  </dataValidations>
  <pageMargins left="0.7" right="0.7" top="0.75" bottom="0.75" header="0.3" footer="0.3"/>
  <pageSetup paperSize="1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C00000"/>
    <pageSetUpPr fitToPage="1"/>
  </sheetPr>
  <dimension ref="A1:W257"/>
  <sheetViews>
    <sheetView showZeros="0" zoomScaleNormal="100" zoomScaleSheetLayoutView="70" zoomScalePageLayoutView="85" workbookViewId="0">
      <pane xSplit="9" ySplit="4" topLeftCell="J46" activePane="bottomRight" state="frozen"/>
      <selection pane="topRight" activeCell="A12" sqref="A12"/>
      <selection pane="bottomLeft" activeCell="A12" sqref="A12"/>
      <selection pane="bottomRight" activeCell="F59" sqref="F59"/>
    </sheetView>
  </sheetViews>
  <sheetFormatPr defaultColWidth="9.1796875" defaultRowHeight="12.5" x14ac:dyDescent="0.25"/>
  <cols>
    <col min="2" max="2" width="1.7265625" customWidth="1"/>
    <col min="4" max="4" width="1.7265625" customWidth="1"/>
    <col min="9" max="9" width="16.1796875" customWidth="1"/>
    <col min="10" max="10" width="2.7265625" customWidth="1"/>
    <col min="11" max="11" width="14" customWidth="1"/>
    <col min="12" max="12" width="2.7265625" customWidth="1"/>
    <col min="13" max="13" width="14" bestFit="1" customWidth="1"/>
    <col min="14" max="14" width="2.7265625" customWidth="1"/>
    <col min="15" max="15" width="12.26953125" customWidth="1"/>
    <col min="16" max="16" width="2.7265625" customWidth="1"/>
    <col min="17" max="17" width="12.26953125" customWidth="1"/>
    <col min="18" max="18" width="2.7265625" customWidth="1"/>
    <col min="19" max="19" width="12.26953125" customWidth="1"/>
    <col min="21" max="21" width="27.7265625" bestFit="1" customWidth="1"/>
    <col min="22" max="24" width="9.1796875" customWidth="1"/>
  </cols>
  <sheetData>
    <row r="1" spans="1:19" s="103" customFormat="1" ht="15.5" x14ac:dyDescent="0.35">
      <c r="C1" s="5" t="s">
        <v>172</v>
      </c>
      <c r="K1" s="4" t="s">
        <v>25</v>
      </c>
      <c r="M1" s="4" t="s">
        <v>26</v>
      </c>
      <c r="O1" s="4" t="s">
        <v>27</v>
      </c>
      <c r="Q1" s="4" t="s">
        <v>28</v>
      </c>
      <c r="S1" s="4" t="s">
        <v>29</v>
      </c>
    </row>
    <row r="2" spans="1:19" s="191" customFormat="1" ht="13" x14ac:dyDescent="0.3">
      <c r="C2" s="6"/>
      <c r="K2" s="3"/>
      <c r="M2" s="3"/>
      <c r="O2" s="3"/>
      <c r="Q2" s="3"/>
      <c r="S2" s="3"/>
    </row>
    <row r="3" spans="1:19" s="192" customFormat="1" ht="25" x14ac:dyDescent="0.25">
      <c r="C3" s="448"/>
      <c r="D3" s="448"/>
      <c r="E3" s="448"/>
      <c r="F3" s="448"/>
      <c r="G3" s="448"/>
      <c r="H3" s="448"/>
      <c r="I3" s="448"/>
      <c r="K3" s="192" t="s">
        <v>173</v>
      </c>
      <c r="M3" s="192" t="s">
        <v>173</v>
      </c>
      <c r="O3" s="192" t="s">
        <v>173</v>
      </c>
      <c r="Q3" s="192" t="s">
        <v>173</v>
      </c>
      <c r="S3" s="192" t="s">
        <v>173</v>
      </c>
    </row>
    <row r="4" spans="1:19" s="103" customFormat="1" ht="6" customHeight="1" x14ac:dyDescent="0.35"/>
    <row r="5" spans="1:19" s="103" customFormat="1" ht="6" customHeight="1" x14ac:dyDescent="0.35">
      <c r="C5" s="403"/>
      <c r="D5" s="403"/>
      <c r="E5" s="403"/>
      <c r="F5" s="403"/>
      <c r="G5" s="403"/>
      <c r="H5" s="403"/>
      <c r="I5" s="403"/>
      <c r="K5" s="104"/>
      <c r="M5" s="104"/>
      <c r="O5" s="104"/>
      <c r="Q5" s="104"/>
      <c r="S5" s="104"/>
    </row>
    <row r="6" spans="1:19" s="103" customFormat="1" ht="30" customHeight="1" x14ac:dyDescent="0.35">
      <c r="A6" s="193"/>
      <c r="C6" s="447" t="s">
        <v>174</v>
      </c>
      <c r="D6" s="447"/>
      <c r="E6" s="447"/>
      <c r="F6" s="447"/>
      <c r="G6" s="450" t="s">
        <v>175</v>
      </c>
      <c r="H6" s="450"/>
      <c r="I6" s="194" t="s">
        <v>176</v>
      </c>
      <c r="K6" s="104">
        <f>ROUND(IF(I6="1/2-time",K7,K8),0)</f>
        <v>0</v>
      </c>
      <c r="M6" s="104">
        <f>ROUND(IF(I6="1/2-time",M7,M8),0)</f>
        <v>0</v>
      </c>
      <c r="O6" s="104">
        <f>ROUND(IF(I6="1/2-time",O7,O8),0)</f>
        <v>0</v>
      </c>
      <c r="Q6" s="104">
        <f>ROUND(IF(I6="1/2-time",Q7,Q8),0)</f>
        <v>0</v>
      </c>
      <c r="S6" s="104">
        <f>ROUND(IF(I6="1/2-time",S7,S8),0)</f>
        <v>0</v>
      </c>
    </row>
    <row r="7" spans="1:19" s="103" customFormat="1" ht="15.5" hidden="1" x14ac:dyDescent="0.35">
      <c r="A7" s="103">
        <v>8</v>
      </c>
      <c r="C7" s="440" t="s">
        <v>177</v>
      </c>
      <c r="D7" s="440"/>
      <c r="E7" s="440"/>
      <c r="F7" s="440"/>
      <c r="G7" s="403"/>
      <c r="H7" s="403"/>
      <c r="I7" s="403" t="s">
        <v>178</v>
      </c>
      <c r="K7" s="104">
        <f>+C13*VLOOKUP(K13,$I$111:$Q$137,5,FALSE)+C15*VLOOKUP(K15,$I$111:$Q$137,5,FALSE)+C17*VLOOKUP(K17,$I$111:$Q$137,5,FALSE)+C19*VLOOKUP(K19,$I$111:$Q$137,9,FALSE)+C21*VLOOKUP(K21,$I$111:$Q$137,9,FALSE)+C23*VLOOKUP(K23,$I$111:$Q$137,9,FALSE)</f>
        <v>0</v>
      </c>
      <c r="M7" s="104">
        <f>+E13*VLOOKUP(M13,$I$111:$Q$137,5,FALSE)+E15*VLOOKUP(M15,$I$111:$Q$137,5,FALSE)+E17*VLOOKUP(M17,$I$111:$Q$137,5,FALSE)+E19*VLOOKUP(M19,$I$111:$Q$137,9,FALSE)+E21*VLOOKUP(M21,$I$111:$Q$137,9,FALSE)+E23*VLOOKUP(M23,$I$111:$Q$137,9,FALSE)</f>
        <v>0</v>
      </c>
      <c r="O7" s="104">
        <f>+F13*VLOOKUP(O13,$I$111:$Q$137,5,FALSE)+F15*VLOOKUP(O15,$I$111:$Q$137,5,FALSE)+F17*VLOOKUP(O17,$I$111:$Q$137,5,FALSE)+F19*VLOOKUP(O19,$I$111:$Q$137,9,FALSE)+F21*VLOOKUP(O21,$I$111:$Q$137,9,FALSE)+F23*VLOOKUP(O23,$I$111:$Q$137,9,FALSE)</f>
        <v>0</v>
      </c>
      <c r="Q7" s="104">
        <f>+G13*VLOOKUP(Q13,$I$111:$Q$137,5,FALSE)+G15*VLOOKUP(Q15,$I$111:$Q$137,5,FALSE)+G17*VLOOKUP(Q17,$I$111:$Q$137,5,FALSE)+G19*VLOOKUP(Q19,$I$111:$Q$137,9,FALSE)+G21*VLOOKUP(Q21,$I$111:$Q$137,9,FALSE)+G23*VLOOKUP(Q23,$I$111:$Q$137,9,FALSE)</f>
        <v>0</v>
      </c>
      <c r="S7" s="104">
        <f>+H13*VLOOKUP(S13,$I$111:$Q$137,5,FALSE)+H15*VLOOKUP(S15,$I$111:$Q$137,5,FALSE)+H17*VLOOKUP(S17,$I$111:$Q$137,5,FALSE)+H19*VLOOKUP(S19,$I$111:$Q$137,9,FALSE)+H21*VLOOKUP(S21,$I$111:$Q$137,9,FALSE)+H23*VLOOKUP(S23,$I$111:$Q$137,9,FALSE)</f>
        <v>0</v>
      </c>
    </row>
    <row r="8" spans="1:19" s="103" customFormat="1" ht="15.5" hidden="1" x14ac:dyDescent="0.35">
      <c r="A8" s="103">
        <v>8</v>
      </c>
      <c r="C8" s="440" t="s">
        <v>177</v>
      </c>
      <c r="D8" s="440"/>
      <c r="E8" s="440"/>
      <c r="F8" s="440"/>
      <c r="G8" s="403"/>
      <c r="H8" s="403"/>
      <c r="I8" s="403" t="s">
        <v>179</v>
      </c>
      <c r="K8" s="104">
        <f>+C13*VLOOKUP(K13,$I$111:$Q$137,3,FALSE)+C15*VLOOKUP(K15,$I$111:$Q$137,3,FALSE)+C17*VLOOKUP(K17,$I$111:$Q$137,3,FALSE)+C19*VLOOKUP(K19,$I$111:$Q$137,7,FALSE)+C21*VLOOKUP(K21,$I$111:$Q$137,7,FALSE)+C23*VLOOKUP(K23,$I$111:$Q$137,7,FALSE)</f>
        <v>0</v>
      </c>
      <c r="M8" s="104">
        <f>+E13*VLOOKUP(M13,$I$111:$Q$137,3,FALSE)+E15*VLOOKUP(M15,$I$111:$Q$137,3,FALSE)+E17*VLOOKUP(M17,$I$111:$Q$137,3,FALSE)+E19*VLOOKUP(M19,$I$111:$Q$137,7,FALSE)+E21*VLOOKUP(M21,$I$111:$Q$137,7,FALSE)+E23*VLOOKUP(M23,$I$111:$Q$137,7,FALSE)</f>
        <v>0</v>
      </c>
      <c r="O8" s="104">
        <f>+F13*VLOOKUP(O13,$I$111:$Q$137,3,FALSE)+F15*VLOOKUP(O15,$I$111:$Q$137,3,FALSE)+F17*VLOOKUP(O17,$I$111:$Q$137,3,FALSE)+F19*VLOOKUP(O19,$I$111:$Q$137,7,FALSE)+F21*VLOOKUP(O21,$I$111:$Q$137,7,FALSE)+F23*VLOOKUP(O23,$I$111:$Q$137,7,FALSE)</f>
        <v>0</v>
      </c>
      <c r="Q8" s="104">
        <f>+G13*VLOOKUP(Q13,$I$111:$Q$137,3,FALSE)+G15*VLOOKUP(Q15,$I$111:$Q$137,3,FALSE)+G17*VLOOKUP(Q17,$I$111:$Q$137,3,FALSE)+G19*VLOOKUP(Q19,$I$111:$Q$137,7,FALSE)+G21*VLOOKUP(Q21,$I$111:$Q$137,7,FALSE)+G23*VLOOKUP(Q23,$I$111:$Q$137,7,FALSE)</f>
        <v>0</v>
      </c>
      <c r="S8" s="104">
        <f>+H13*VLOOKUP(S13,$I$111:$Q$137,3,FALSE)+H15*VLOOKUP(S15,$I$111:$Q$137,3,FALSE)+H17*VLOOKUP(S17,$I$111:$Q$137,3,FALSE)+H19*VLOOKUP(S19,$I$111:$Q$137,7,FALSE)+H21*VLOOKUP(S21,$I$111:$Q$137,7,FALSE)+H23*VLOOKUP(S23,$I$111:$Q$137,7,FALSE)</f>
        <v>0</v>
      </c>
    </row>
    <row r="9" spans="1:19" s="103" customFormat="1" ht="6" customHeight="1" x14ac:dyDescent="0.35">
      <c r="C9" s="195"/>
      <c r="D9" s="195"/>
      <c r="E9" s="195"/>
      <c r="F9" s="195"/>
      <c r="G9" s="195"/>
      <c r="H9" s="195"/>
      <c r="I9" s="195"/>
      <c r="J9" s="196"/>
      <c r="K9" s="196"/>
      <c r="L9" s="196"/>
      <c r="M9" s="196"/>
      <c r="N9" s="196"/>
      <c r="O9" s="196"/>
      <c r="P9" s="196"/>
      <c r="Q9" s="196"/>
      <c r="R9" s="196"/>
      <c r="S9" s="196"/>
    </row>
    <row r="10" spans="1:19" s="191" customFormat="1" ht="6" customHeight="1" x14ac:dyDescent="0.25">
      <c r="A10" s="197"/>
      <c r="C10" s="198"/>
      <c r="D10" s="198"/>
      <c r="E10" s="198"/>
      <c r="F10" s="199"/>
      <c r="G10" s="199"/>
      <c r="H10" s="198"/>
      <c r="I10" s="106"/>
      <c r="K10" s="106"/>
      <c r="L10" s="106"/>
      <c r="M10" s="106"/>
      <c r="N10" s="106"/>
      <c r="O10" s="106"/>
      <c r="P10" s="106"/>
      <c r="Q10" s="106"/>
      <c r="R10" s="106"/>
      <c r="S10" s="106"/>
    </row>
    <row r="11" spans="1:19" s="191" customFormat="1" ht="25" customHeight="1" x14ac:dyDescent="0.25">
      <c r="A11" s="197"/>
      <c r="C11" s="441" t="s">
        <v>180</v>
      </c>
      <c r="D11" s="442"/>
      <c r="E11" s="442"/>
      <c r="F11" s="442"/>
      <c r="G11" s="442"/>
      <c r="H11" s="443"/>
      <c r="I11" s="106"/>
      <c r="K11" s="106"/>
      <c r="L11" s="106"/>
      <c r="M11" s="106"/>
      <c r="N11" s="106"/>
      <c r="O11" s="106"/>
      <c r="P11" s="106"/>
      <c r="Q11" s="106"/>
      <c r="R11" s="106"/>
      <c r="S11" s="106"/>
    </row>
    <row r="12" spans="1:19" s="191" customFormat="1" ht="12" customHeight="1" x14ac:dyDescent="0.25">
      <c r="C12" s="200" t="s">
        <v>25</v>
      </c>
      <c r="D12" s="200"/>
      <c r="E12" s="200" t="s">
        <v>26</v>
      </c>
      <c r="F12" s="200" t="s">
        <v>27</v>
      </c>
      <c r="G12" s="200" t="s">
        <v>28</v>
      </c>
      <c r="H12" s="200" t="s">
        <v>29</v>
      </c>
      <c r="I12" s="200"/>
      <c r="J12" s="201"/>
      <c r="K12" s="201"/>
      <c r="L12" s="201"/>
      <c r="M12" s="201"/>
      <c r="N12" s="201"/>
      <c r="O12" s="201"/>
      <c r="P12" s="201"/>
      <c r="Q12" s="201"/>
      <c r="R12" s="201"/>
      <c r="S12" s="201"/>
    </row>
    <row r="13" spans="1:19" s="191" customFormat="1" ht="25" customHeight="1" x14ac:dyDescent="0.25">
      <c r="A13" s="436" t="s">
        <v>181</v>
      </c>
      <c r="C13" s="445"/>
      <c r="D13" s="445"/>
      <c r="E13" s="404"/>
      <c r="F13" s="404"/>
      <c r="G13" s="202"/>
      <c r="H13" s="404"/>
      <c r="I13" s="106" t="s">
        <v>41</v>
      </c>
      <c r="K13" s="203" t="s">
        <v>182</v>
      </c>
      <c r="L13" s="106"/>
      <c r="M13" s="203" t="s">
        <v>183</v>
      </c>
      <c r="N13" s="106"/>
      <c r="O13" s="203" t="s">
        <v>184</v>
      </c>
      <c r="P13" s="106"/>
      <c r="Q13" s="203" t="s">
        <v>185</v>
      </c>
      <c r="R13" s="106"/>
      <c r="S13" s="203" t="s">
        <v>186</v>
      </c>
    </row>
    <row r="14" spans="1:19" s="191" customFormat="1" ht="6" customHeight="1" x14ac:dyDescent="0.25">
      <c r="A14" s="444"/>
      <c r="C14" s="204"/>
      <c r="D14" s="204"/>
      <c r="E14" s="198"/>
      <c r="F14" s="198"/>
      <c r="G14" s="198"/>
      <c r="H14" s="198"/>
      <c r="I14" s="106"/>
      <c r="K14" s="106"/>
      <c r="L14" s="106"/>
      <c r="M14" s="106"/>
      <c r="N14" s="106"/>
      <c r="O14" s="106"/>
      <c r="P14" s="106"/>
      <c r="Q14" s="106"/>
      <c r="R14" s="106"/>
      <c r="S14" s="106"/>
    </row>
    <row r="15" spans="1:19" s="191" customFormat="1" ht="25" customHeight="1" x14ac:dyDescent="0.25">
      <c r="A15" s="444"/>
      <c r="C15" s="445"/>
      <c r="D15" s="445"/>
      <c r="E15" s="404"/>
      <c r="F15" s="205"/>
      <c r="G15" s="202"/>
      <c r="H15" s="404"/>
      <c r="I15" s="106" t="s">
        <v>187</v>
      </c>
      <c r="K15" s="203" t="s">
        <v>188</v>
      </c>
      <c r="L15" s="106"/>
      <c r="M15" s="203" t="s">
        <v>189</v>
      </c>
      <c r="N15" s="106"/>
      <c r="O15" s="203" t="s">
        <v>190</v>
      </c>
      <c r="P15" s="106"/>
      <c r="Q15" s="203" t="s">
        <v>191</v>
      </c>
      <c r="R15" s="106"/>
      <c r="S15" s="203" t="s">
        <v>192</v>
      </c>
    </row>
    <row r="16" spans="1:19" s="191" customFormat="1" ht="6" customHeight="1" x14ac:dyDescent="0.25">
      <c r="A16" s="444"/>
      <c r="C16" s="204"/>
      <c r="D16" s="204"/>
      <c r="E16" s="198"/>
      <c r="F16" s="198"/>
      <c r="G16" s="198"/>
      <c r="H16" s="198"/>
      <c r="I16" s="106"/>
      <c r="K16" s="106"/>
      <c r="L16" s="106"/>
      <c r="M16" s="106"/>
      <c r="N16" s="106"/>
      <c r="O16" s="106"/>
      <c r="P16" s="106"/>
      <c r="Q16" s="106"/>
      <c r="R16" s="106"/>
      <c r="S16" s="106"/>
    </row>
    <row r="17" spans="1:19" s="191" customFormat="1" ht="25" customHeight="1" x14ac:dyDescent="0.25">
      <c r="A17" s="444"/>
      <c r="C17" s="445"/>
      <c r="D17" s="445"/>
      <c r="E17" s="404"/>
      <c r="F17" s="205"/>
      <c r="G17" s="202"/>
      <c r="H17" s="404"/>
      <c r="I17" s="106" t="s">
        <v>193</v>
      </c>
      <c r="K17" s="203" t="s">
        <v>194</v>
      </c>
      <c r="L17" s="106"/>
      <c r="M17" s="203" t="s">
        <v>195</v>
      </c>
      <c r="N17" s="106"/>
      <c r="O17" s="203" t="s">
        <v>196</v>
      </c>
      <c r="P17" s="106"/>
      <c r="Q17" s="203" t="s">
        <v>197</v>
      </c>
      <c r="R17" s="106"/>
      <c r="S17" s="203" t="s">
        <v>198</v>
      </c>
    </row>
    <row r="18" spans="1:19" s="191" customFormat="1" ht="12" customHeight="1" x14ac:dyDescent="0.25">
      <c r="C18" s="200" t="s">
        <v>25</v>
      </c>
      <c r="D18" s="200"/>
      <c r="E18" s="200" t="s">
        <v>26</v>
      </c>
      <c r="F18" s="200" t="s">
        <v>27</v>
      </c>
      <c r="G18" s="200" t="s">
        <v>28</v>
      </c>
      <c r="H18" s="200" t="s">
        <v>29</v>
      </c>
      <c r="I18" s="200"/>
      <c r="J18" s="201"/>
      <c r="K18" s="206"/>
      <c r="L18" s="206"/>
      <c r="M18" s="206"/>
      <c r="N18" s="206"/>
      <c r="O18" s="206"/>
      <c r="P18" s="206"/>
      <c r="Q18" s="206"/>
      <c r="R18" s="206"/>
      <c r="S18" s="206"/>
    </row>
    <row r="19" spans="1:19" s="191" customFormat="1" ht="25" customHeight="1" x14ac:dyDescent="0.25">
      <c r="A19" s="436" t="s">
        <v>199</v>
      </c>
      <c r="C19" s="445"/>
      <c r="D19" s="445"/>
      <c r="E19" s="404"/>
      <c r="F19" s="404"/>
      <c r="G19" s="202"/>
      <c r="H19" s="404"/>
      <c r="I19" s="106" t="s">
        <v>41</v>
      </c>
      <c r="K19" s="203" t="s">
        <v>182</v>
      </c>
      <c r="L19" s="106"/>
      <c r="M19" s="203" t="s">
        <v>183</v>
      </c>
      <c r="N19" s="106"/>
      <c r="O19" s="203" t="s">
        <v>184</v>
      </c>
      <c r="P19" s="106"/>
      <c r="Q19" s="203" t="s">
        <v>185</v>
      </c>
      <c r="R19" s="106"/>
      <c r="S19" s="203" t="s">
        <v>186</v>
      </c>
    </row>
    <row r="20" spans="1:19" s="191" customFormat="1" ht="6" customHeight="1" x14ac:dyDescent="0.25">
      <c r="A20" s="444"/>
      <c r="C20" s="204"/>
      <c r="D20" s="204"/>
      <c r="E20" s="198"/>
      <c r="F20" s="198"/>
      <c r="G20" s="198"/>
      <c r="H20" s="198"/>
      <c r="I20" s="106"/>
      <c r="K20" s="106"/>
      <c r="L20" s="106"/>
      <c r="M20" s="106"/>
      <c r="N20" s="106"/>
      <c r="O20" s="106"/>
      <c r="P20" s="106"/>
      <c r="Q20" s="106"/>
      <c r="R20" s="106"/>
      <c r="S20" s="106"/>
    </row>
    <row r="21" spans="1:19" s="191" customFormat="1" ht="25" customHeight="1" x14ac:dyDescent="0.25">
      <c r="A21" s="444"/>
      <c r="C21" s="445"/>
      <c r="D21" s="445"/>
      <c r="E21" s="404"/>
      <c r="F21" s="205"/>
      <c r="G21" s="202"/>
      <c r="H21" s="404"/>
      <c r="I21" s="106" t="s">
        <v>187</v>
      </c>
      <c r="K21" s="203" t="s">
        <v>188</v>
      </c>
      <c r="L21" s="106"/>
      <c r="M21" s="203" t="s">
        <v>189</v>
      </c>
      <c r="N21" s="106"/>
      <c r="O21" s="203" t="s">
        <v>190</v>
      </c>
      <c r="P21" s="106"/>
      <c r="Q21" s="203" t="s">
        <v>191</v>
      </c>
      <c r="R21" s="106"/>
      <c r="S21" s="203" t="s">
        <v>192</v>
      </c>
    </row>
    <row r="22" spans="1:19" s="191" customFormat="1" ht="6" customHeight="1" x14ac:dyDescent="0.25">
      <c r="A22" s="444"/>
      <c r="C22" s="204"/>
      <c r="D22" s="204"/>
      <c r="E22" s="198"/>
      <c r="F22" s="198"/>
      <c r="G22" s="198"/>
      <c r="H22" s="198"/>
      <c r="I22" s="106"/>
      <c r="K22" s="106"/>
      <c r="L22" s="106"/>
      <c r="M22" s="106"/>
      <c r="N22" s="106"/>
      <c r="O22" s="106"/>
      <c r="P22" s="106"/>
      <c r="Q22" s="106"/>
      <c r="R22" s="106"/>
      <c r="S22" s="106"/>
    </row>
    <row r="23" spans="1:19" s="191" customFormat="1" ht="25" customHeight="1" x14ac:dyDescent="0.25">
      <c r="A23" s="444"/>
      <c r="C23" s="446"/>
      <c r="D23" s="446"/>
      <c r="E23" s="405"/>
      <c r="F23" s="207"/>
      <c r="G23" s="208"/>
      <c r="H23" s="405"/>
      <c r="I23" s="106" t="s">
        <v>193</v>
      </c>
      <c r="K23" s="203" t="s">
        <v>194</v>
      </c>
      <c r="L23" s="106"/>
      <c r="M23" s="203" t="s">
        <v>195</v>
      </c>
      <c r="N23" s="106"/>
      <c r="O23" s="203" t="s">
        <v>196</v>
      </c>
      <c r="P23" s="106"/>
      <c r="Q23" s="203" t="s">
        <v>197</v>
      </c>
      <c r="R23" s="106"/>
      <c r="S23" s="203" t="s">
        <v>198</v>
      </c>
    </row>
    <row r="24" spans="1:19" s="103" customFormat="1" ht="6" customHeight="1" x14ac:dyDescent="0.35">
      <c r="C24" s="195"/>
      <c r="D24" s="195"/>
      <c r="E24" s="195"/>
      <c r="F24" s="195"/>
      <c r="G24" s="195"/>
      <c r="H24" s="195"/>
      <c r="I24" s="195"/>
      <c r="J24" s="196"/>
      <c r="K24" s="196"/>
      <c r="L24" s="196"/>
      <c r="M24" s="196"/>
      <c r="N24" s="196"/>
      <c r="O24" s="196"/>
      <c r="P24" s="196"/>
      <c r="Q24" s="196"/>
      <c r="R24" s="196"/>
      <c r="S24" s="196"/>
    </row>
    <row r="25" spans="1:19" s="104" customFormat="1" ht="6" customHeight="1" x14ac:dyDescent="0.35"/>
    <row r="26" spans="1:19" s="103" customFormat="1" ht="45.65" customHeight="1" x14ac:dyDescent="0.35">
      <c r="A26" s="193"/>
      <c r="C26" s="447" t="s">
        <v>200</v>
      </c>
      <c r="D26" s="447"/>
      <c r="E26" s="447"/>
      <c r="F26" s="447"/>
      <c r="G26" s="450" t="s">
        <v>175</v>
      </c>
      <c r="H26" s="450"/>
      <c r="I26" s="194" t="s">
        <v>201</v>
      </c>
      <c r="K26" s="104">
        <f>ROUND(IF($I$26="1/2-time",K27,K28),0)</f>
        <v>0</v>
      </c>
      <c r="M26" s="104">
        <f>ROUND(IF($I$26="1/2-time",M27,M28),0)</f>
        <v>0</v>
      </c>
      <c r="O26" s="104">
        <f>ROUND(IF($I$26="1/2-time",O27,O28),0)</f>
        <v>0</v>
      </c>
      <c r="Q26" s="104">
        <f>ROUND(IF($I$26="1/2-time",Q27,Q28),0)</f>
        <v>0</v>
      </c>
      <c r="S26" s="104">
        <f>ROUND(IF($I$26="1/2-time",S27,S28),0)</f>
        <v>0</v>
      </c>
    </row>
    <row r="27" spans="1:19" s="103" customFormat="1" ht="15.5" hidden="1" x14ac:dyDescent="0.35">
      <c r="A27" s="103">
        <v>8</v>
      </c>
      <c r="C27" s="440" t="s">
        <v>177</v>
      </c>
      <c r="D27" s="440"/>
      <c r="E27" s="440"/>
      <c r="F27" s="440"/>
      <c r="G27" s="403"/>
      <c r="H27" s="403"/>
      <c r="I27" s="403" t="s">
        <v>178</v>
      </c>
      <c r="K27" s="104">
        <f>+C33*VLOOKUP(K33,$I$141:$Q$167,5,FALSE)+C35*VLOOKUP(K35,$I$141:$Q$167,5,FALSE)+C37*VLOOKUP(K37,$I$141:$Q$167,5,FALSE)+C39*VLOOKUP(K39,$I$141:$Q$167,9,FALSE)+C41*VLOOKUP(K41,$I$141:$Q$167,9,FALSE)+C43*VLOOKUP(K43,$I$141:$Q$167,9,FALSE)</f>
        <v>0</v>
      </c>
      <c r="L27" s="104"/>
      <c r="M27" s="104">
        <f>+E33*VLOOKUP(M33,$I$141:$Q$167,5,FALSE)+E35*VLOOKUP(M35,$I$141:$Q$167,5,FALSE)+E37*VLOOKUP(M37,$I$141:$Q$167,5,FALSE)+E39*VLOOKUP(M39,$I$141:$Q$167,9,FALSE)+E41*VLOOKUP(M41,$I$141:$Q$167,9,FALSE)+E43*VLOOKUP(M43,$I$141:$Q$167,9,FALSE)</f>
        <v>0</v>
      </c>
      <c r="N27" s="104"/>
      <c r="O27" s="104">
        <f>+F33*VLOOKUP(O33,$I$141:$Q$167,5,FALSE)+F35*VLOOKUP(O35,$I$141:$Q$167,5,FALSE)+F37*VLOOKUP(O37,$I$141:$Q$167,5,FALSE)+F39*VLOOKUP(O39,$I$141:$Q$167,9,FALSE)+F41*VLOOKUP(O41,$I$141:$Q$167,9,FALSE)+F43*VLOOKUP(O43,$I$141:$Q$167,9,FALSE)</f>
        <v>0</v>
      </c>
      <c r="P27" s="104"/>
      <c r="Q27" s="104">
        <f>+G33*VLOOKUP(Q33,$I$141:$Q$167,5,FALSE)+G35*VLOOKUP(Q35,$I$141:$Q$167,5,FALSE)+G37*VLOOKUP(Q37,$I$141:$Q$167,5,FALSE)+G39*VLOOKUP(Q39,$I$141:$Q$167,9,FALSE)+G41*VLOOKUP(Q41,$I$141:$Q$167,9,FALSE)+G43*VLOOKUP(Q43,$I$141:$Q$167,9,FALSE)</f>
        <v>0</v>
      </c>
      <c r="R27" s="104"/>
      <c r="S27" s="104">
        <f>+H33*VLOOKUP(S33,$I$141:$Q$167,5,FALSE)+H35*VLOOKUP(S35,$I$141:$Q$167,5,FALSE)+H37*VLOOKUP(S37,$I$141:$Q$167,5,FALSE)+H39*VLOOKUP(S39,$I$141:$Q$167,9,FALSE)+H41*VLOOKUP(S41,$I$141:$Q$167,9,FALSE)+H43*VLOOKUP(S43,$I$141:$Q$167,9,FALSE)</f>
        <v>0</v>
      </c>
    </row>
    <row r="28" spans="1:19" s="103" customFormat="1" ht="18" hidden="1" customHeight="1" x14ac:dyDescent="0.35">
      <c r="A28" s="103">
        <v>8</v>
      </c>
      <c r="C28" s="440" t="s">
        <v>177</v>
      </c>
      <c r="D28" s="440"/>
      <c r="E28" s="440"/>
      <c r="F28" s="440"/>
      <c r="G28" s="403"/>
      <c r="H28" s="403"/>
      <c r="I28" s="403" t="s">
        <v>179</v>
      </c>
      <c r="K28" s="104">
        <f>+C33*VLOOKUP(K33,$I$141:$Q$167,3,FALSE)+C35*VLOOKUP(K35,$I$141:$Q$167,3,FALSE)+C37*VLOOKUP(K37,$I$141:$Q$167,3,FALSE)+C39*VLOOKUP(K39,$I$141:$Q$167,7,FALSE)+C41*VLOOKUP(K41,$I$141:$Q$167,7,FALSE)+C43*VLOOKUP(K43,$I$141:$Q$167,7,FALSE)</f>
        <v>0</v>
      </c>
      <c r="M28" s="104">
        <f>+E33*VLOOKUP(M33,$I$141:$Q$167,3,FALSE)+E35*VLOOKUP(M35,$I$141:$Q$167,3,FALSE)+E37*VLOOKUP(M37,$I$141:$Q$167,3,FALSE)+E39*VLOOKUP(M39,$I$141:$Q$167,7,FALSE)+E41*VLOOKUP(M41,$I$141:$Q$167,7,FALSE)+E43*VLOOKUP(M43,$I$141:$Q$167,7,FALSE)</f>
        <v>0</v>
      </c>
      <c r="O28" s="104">
        <f>+F33*VLOOKUP(O33,$I$141:$Q$167,3,FALSE)+F35*VLOOKUP(O35,$I$141:$Q$167,3,FALSE)+F37*VLOOKUP(O37,$I$141:$Q$167,3,FALSE)+F39*VLOOKUP(O39,$I$141:$Q$167,7,FALSE)+F41*VLOOKUP(O41,$I$141:$Q$167,7,FALSE)+F43*VLOOKUP(O43,$I$141:$Q$167,7,FALSE)</f>
        <v>0</v>
      </c>
      <c r="Q28" s="104">
        <f>+G33*VLOOKUP(Q33,$I$141:$Q$167,3,FALSE)+G35*VLOOKUP(Q35,$I$141:$Q$167,3,FALSE)+G37*VLOOKUP(Q37,$I$141:$Q$167,3,FALSE)+G39*VLOOKUP(Q39,$I$141:$Q$167,7,FALSE)+G41*VLOOKUP(Q41,$I$141:$Q$167,7,FALSE)+G43*VLOOKUP(Q43,$I$141:$Q$167,7,FALSE)</f>
        <v>0</v>
      </c>
      <c r="S28" s="104">
        <f>+H33*VLOOKUP(S33,$I$141:$Q$167,3,FALSE)+H35*VLOOKUP(S35,$I$141:$Q$167,3,FALSE)+H37*VLOOKUP(S37,$I$141:$Q$167,3,FALSE)+H39*VLOOKUP(S39,$I$141:$Q$167,7,FALSE)+H41*VLOOKUP(S41,$I$141:$Q$167,7,FALSE)+H43*VLOOKUP(S43,$I$141:$Q$167,7,FALSE)</f>
        <v>0</v>
      </c>
    </row>
    <row r="29" spans="1:19" s="103" customFormat="1" ht="6" customHeight="1" x14ac:dyDescent="0.35">
      <c r="C29" s="195"/>
      <c r="D29" s="195"/>
      <c r="E29" s="195"/>
      <c r="F29" s="195"/>
      <c r="G29" s="195"/>
      <c r="H29" s="195"/>
      <c r="I29" s="195"/>
      <c r="J29" s="196"/>
      <c r="K29" s="196"/>
      <c r="L29" s="196"/>
      <c r="M29" s="196"/>
      <c r="N29" s="196"/>
      <c r="O29" s="196"/>
      <c r="P29" s="196"/>
      <c r="Q29" s="196"/>
      <c r="R29" s="196"/>
      <c r="S29" s="196"/>
    </row>
    <row r="30" spans="1:19" s="191" customFormat="1" ht="6" customHeight="1" x14ac:dyDescent="0.25">
      <c r="A30" s="197"/>
      <c r="C30" s="198"/>
      <c r="D30" s="198"/>
      <c r="E30" s="198"/>
      <c r="F30" s="199"/>
      <c r="G30" s="199"/>
      <c r="H30" s="198"/>
      <c r="I30" s="106"/>
      <c r="K30" s="106"/>
      <c r="L30" s="106"/>
      <c r="M30" s="106"/>
      <c r="N30" s="106"/>
      <c r="O30" s="106"/>
      <c r="P30" s="106"/>
      <c r="Q30" s="106"/>
      <c r="R30" s="106"/>
      <c r="S30" s="106"/>
    </row>
    <row r="31" spans="1:19" s="191" customFormat="1" ht="25" customHeight="1" x14ac:dyDescent="0.35">
      <c r="A31" s="103"/>
      <c r="C31" s="441" t="s">
        <v>202</v>
      </c>
      <c r="D31" s="442"/>
      <c r="E31" s="442"/>
      <c r="F31" s="442"/>
      <c r="G31" s="442"/>
      <c r="H31" s="443"/>
      <c r="I31" s="106"/>
      <c r="K31" s="104"/>
      <c r="L31" s="106"/>
      <c r="M31" s="104"/>
      <c r="N31" s="104"/>
      <c r="O31" s="104"/>
      <c r="P31" s="104"/>
      <c r="Q31" s="104"/>
      <c r="R31" s="104"/>
      <c r="S31" s="104"/>
    </row>
    <row r="32" spans="1:19" s="191" customFormat="1" ht="12" customHeight="1" x14ac:dyDescent="0.25">
      <c r="C32" s="200" t="s">
        <v>25</v>
      </c>
      <c r="D32" s="200"/>
      <c r="E32" s="200" t="s">
        <v>26</v>
      </c>
      <c r="F32" s="200" t="s">
        <v>27</v>
      </c>
      <c r="G32" s="200" t="s">
        <v>28</v>
      </c>
      <c r="H32" s="200" t="s">
        <v>29</v>
      </c>
      <c r="I32" s="200"/>
      <c r="J32" s="201"/>
      <c r="K32" s="201"/>
      <c r="L32" s="201"/>
      <c r="M32" s="201"/>
      <c r="N32" s="201"/>
      <c r="O32" s="201"/>
      <c r="P32" s="201"/>
      <c r="Q32" s="201"/>
      <c r="R32" s="201"/>
      <c r="S32" s="201"/>
    </row>
    <row r="33" spans="1:19" s="191" customFormat="1" ht="25" customHeight="1" x14ac:dyDescent="0.25">
      <c r="A33" s="436" t="s">
        <v>181</v>
      </c>
      <c r="C33" s="437"/>
      <c r="D33" s="438"/>
      <c r="E33" s="404"/>
      <c r="F33" s="404"/>
      <c r="G33" s="202"/>
      <c r="H33" s="404"/>
      <c r="I33" s="106" t="s">
        <v>41</v>
      </c>
      <c r="K33" s="203" t="s">
        <v>182</v>
      </c>
      <c r="L33" s="106"/>
      <c r="M33" s="203" t="s">
        <v>183</v>
      </c>
      <c r="N33" s="106"/>
      <c r="O33" s="203" t="s">
        <v>184</v>
      </c>
      <c r="P33" s="106"/>
      <c r="Q33" s="203" t="s">
        <v>185</v>
      </c>
      <c r="R33" s="106"/>
      <c r="S33" s="203" t="s">
        <v>186</v>
      </c>
    </row>
    <row r="34" spans="1:19" s="191" customFormat="1" ht="6" customHeight="1" x14ac:dyDescent="0.25">
      <c r="A34" s="444"/>
      <c r="C34" s="204"/>
      <c r="D34" s="204"/>
      <c r="E34" s="198"/>
      <c r="F34" s="198"/>
      <c r="G34" s="198"/>
      <c r="H34" s="198"/>
      <c r="I34" s="106"/>
      <c r="K34" s="106"/>
      <c r="L34" s="106"/>
      <c r="M34" s="106"/>
      <c r="N34" s="106"/>
      <c r="O34" s="106"/>
      <c r="P34" s="106"/>
      <c r="Q34" s="106"/>
      <c r="R34" s="106"/>
      <c r="S34" s="106"/>
    </row>
    <row r="35" spans="1:19" s="191" customFormat="1" ht="25" customHeight="1" x14ac:dyDescent="0.25">
      <c r="A35" s="444"/>
      <c r="C35" s="445"/>
      <c r="D35" s="445"/>
      <c r="E35" s="404"/>
      <c r="F35" s="205"/>
      <c r="G35" s="202"/>
      <c r="H35" s="404"/>
      <c r="I35" s="106" t="s">
        <v>187</v>
      </c>
      <c r="K35" s="203" t="s">
        <v>188</v>
      </c>
      <c r="L35" s="106"/>
      <c r="M35" s="203" t="s">
        <v>189</v>
      </c>
      <c r="N35" s="106"/>
      <c r="O35" s="203" t="s">
        <v>190</v>
      </c>
      <c r="P35" s="106"/>
      <c r="Q35" s="203" t="s">
        <v>191</v>
      </c>
      <c r="R35" s="106"/>
      <c r="S35" s="203" t="s">
        <v>192</v>
      </c>
    </row>
    <row r="36" spans="1:19" s="191" customFormat="1" ht="6" customHeight="1" x14ac:dyDescent="0.25">
      <c r="A36" s="444"/>
      <c r="C36" s="204"/>
      <c r="D36" s="204"/>
      <c r="E36" s="198"/>
      <c r="F36" s="198"/>
      <c r="G36" s="198"/>
      <c r="H36" s="198"/>
      <c r="I36" s="106"/>
      <c r="K36" s="106"/>
      <c r="L36" s="106"/>
      <c r="M36" s="106"/>
      <c r="N36" s="106"/>
      <c r="O36" s="106"/>
      <c r="P36" s="106"/>
      <c r="Q36" s="106"/>
      <c r="R36" s="106"/>
      <c r="S36" s="106"/>
    </row>
    <row r="37" spans="1:19" s="191" customFormat="1" ht="25" customHeight="1" x14ac:dyDescent="0.25">
      <c r="A37" s="444"/>
      <c r="C37" s="445"/>
      <c r="D37" s="445"/>
      <c r="E37" s="404"/>
      <c r="F37" s="205"/>
      <c r="G37" s="202"/>
      <c r="H37" s="404"/>
      <c r="I37" s="106" t="s">
        <v>193</v>
      </c>
      <c r="K37" s="203" t="s">
        <v>194</v>
      </c>
      <c r="L37" s="106"/>
      <c r="M37" s="203" t="s">
        <v>195</v>
      </c>
      <c r="N37" s="106"/>
      <c r="O37" s="203" t="s">
        <v>196</v>
      </c>
      <c r="P37" s="106"/>
      <c r="Q37" s="203" t="s">
        <v>197</v>
      </c>
      <c r="R37" s="106"/>
      <c r="S37" s="203" t="s">
        <v>198</v>
      </c>
    </row>
    <row r="38" spans="1:19" s="191" customFormat="1" ht="12" customHeight="1" x14ac:dyDescent="0.25">
      <c r="C38" s="209" t="s">
        <v>25</v>
      </c>
      <c r="D38" s="209"/>
      <c r="E38" s="209" t="s">
        <v>26</v>
      </c>
      <c r="F38" s="209" t="s">
        <v>27</v>
      </c>
      <c r="G38" s="209" t="s">
        <v>28</v>
      </c>
      <c r="H38" s="209" t="s">
        <v>29</v>
      </c>
      <c r="I38" s="200"/>
      <c r="J38" s="201"/>
      <c r="K38" s="206"/>
      <c r="L38" s="206"/>
      <c r="M38" s="206"/>
      <c r="N38" s="206"/>
      <c r="O38" s="206"/>
      <c r="P38" s="206"/>
      <c r="Q38" s="206"/>
      <c r="R38" s="206"/>
      <c r="S38" s="206"/>
    </row>
    <row r="39" spans="1:19" s="191" customFormat="1" ht="25" customHeight="1" x14ac:dyDescent="0.25">
      <c r="A39" s="436" t="s">
        <v>199</v>
      </c>
      <c r="C39" s="445"/>
      <c r="D39" s="445"/>
      <c r="E39" s="404"/>
      <c r="F39" s="404"/>
      <c r="G39" s="202"/>
      <c r="H39" s="404"/>
      <c r="I39" s="106" t="s">
        <v>41</v>
      </c>
      <c r="K39" s="203" t="s">
        <v>182</v>
      </c>
      <c r="L39" s="106"/>
      <c r="M39" s="203" t="s">
        <v>183</v>
      </c>
      <c r="N39" s="106"/>
      <c r="O39" s="203" t="s">
        <v>184</v>
      </c>
      <c r="P39" s="106"/>
      <c r="Q39" s="203" t="s">
        <v>185</v>
      </c>
      <c r="R39" s="106"/>
      <c r="S39" s="203" t="s">
        <v>186</v>
      </c>
    </row>
    <row r="40" spans="1:19" s="191" customFormat="1" ht="6" customHeight="1" x14ac:dyDescent="0.25">
      <c r="A40" s="444"/>
      <c r="C40" s="204"/>
      <c r="D40" s="204"/>
      <c r="E40" s="198"/>
      <c r="F40" s="198"/>
      <c r="G40" s="198"/>
      <c r="H40" s="198"/>
      <c r="I40" s="106"/>
      <c r="K40" s="106"/>
      <c r="L40" s="106"/>
      <c r="M40" s="106"/>
      <c r="N40" s="106"/>
      <c r="O40" s="106"/>
      <c r="P40" s="106"/>
      <c r="Q40" s="106"/>
      <c r="R40" s="106"/>
      <c r="S40" s="106"/>
    </row>
    <row r="41" spans="1:19" s="191" customFormat="1" ht="25" customHeight="1" x14ac:dyDescent="0.25">
      <c r="A41" s="444"/>
      <c r="C41" s="445"/>
      <c r="D41" s="445"/>
      <c r="E41" s="404"/>
      <c r="F41" s="205"/>
      <c r="G41" s="202"/>
      <c r="H41" s="404"/>
      <c r="I41" s="106" t="s">
        <v>187</v>
      </c>
      <c r="K41" s="203" t="s">
        <v>188</v>
      </c>
      <c r="L41" s="106"/>
      <c r="M41" s="203" t="s">
        <v>189</v>
      </c>
      <c r="N41" s="106"/>
      <c r="O41" s="203" t="s">
        <v>190</v>
      </c>
      <c r="P41" s="106"/>
      <c r="Q41" s="203" t="s">
        <v>191</v>
      </c>
      <c r="R41" s="106"/>
      <c r="S41" s="203" t="s">
        <v>192</v>
      </c>
    </row>
    <row r="42" spans="1:19" s="191" customFormat="1" ht="6" customHeight="1" x14ac:dyDescent="0.25">
      <c r="A42" s="444"/>
      <c r="C42" s="204"/>
      <c r="D42" s="204"/>
      <c r="E42" s="198"/>
      <c r="F42" s="198"/>
      <c r="G42" s="198"/>
      <c r="H42" s="198"/>
      <c r="I42" s="106"/>
      <c r="K42" s="106"/>
      <c r="L42" s="106"/>
      <c r="M42" s="106"/>
      <c r="N42" s="106"/>
      <c r="O42" s="106"/>
      <c r="P42" s="106"/>
      <c r="Q42" s="106"/>
      <c r="R42" s="106"/>
      <c r="S42" s="106"/>
    </row>
    <row r="43" spans="1:19" s="191" customFormat="1" ht="25" customHeight="1" x14ac:dyDescent="0.25">
      <c r="A43" s="444"/>
      <c r="C43" s="445"/>
      <c r="D43" s="445"/>
      <c r="E43" s="404"/>
      <c r="F43" s="205"/>
      <c r="G43" s="202"/>
      <c r="H43" s="404"/>
      <c r="I43" s="106" t="s">
        <v>193</v>
      </c>
      <c r="K43" s="203" t="s">
        <v>194</v>
      </c>
      <c r="L43" s="106"/>
      <c r="M43" s="203" t="s">
        <v>195</v>
      </c>
      <c r="N43" s="106"/>
      <c r="O43" s="203" t="s">
        <v>196</v>
      </c>
      <c r="P43" s="106"/>
      <c r="Q43" s="203" t="s">
        <v>197</v>
      </c>
      <c r="R43" s="106"/>
      <c r="S43" s="203" t="s">
        <v>198</v>
      </c>
    </row>
    <row r="44" spans="1:19" s="103" customFormat="1" ht="6" customHeight="1" x14ac:dyDescent="0.35">
      <c r="C44" s="195"/>
      <c r="D44" s="195"/>
      <c r="E44" s="195"/>
      <c r="F44" s="195"/>
      <c r="G44" s="195"/>
      <c r="H44" s="195"/>
      <c r="I44" s="195"/>
      <c r="J44" s="196"/>
      <c r="K44" s="196"/>
      <c r="L44" s="196"/>
      <c r="M44" s="196"/>
      <c r="N44" s="196"/>
      <c r="O44" s="196"/>
      <c r="P44" s="196"/>
      <c r="Q44" s="196"/>
      <c r="R44" s="196"/>
      <c r="S44" s="196"/>
    </row>
    <row r="45" spans="1:19" s="104" customFormat="1" ht="6" customHeight="1" x14ac:dyDescent="0.35"/>
    <row r="46" spans="1:19" s="103" customFormat="1" ht="44.25" customHeight="1" x14ac:dyDescent="0.35">
      <c r="A46" s="193"/>
      <c r="C46" s="447" t="s">
        <v>203</v>
      </c>
      <c r="D46" s="447"/>
      <c r="E46" s="447"/>
      <c r="F46" s="447"/>
      <c r="G46" s="449" t="s">
        <v>175</v>
      </c>
      <c r="H46" s="450"/>
      <c r="I46" s="194" t="s">
        <v>176</v>
      </c>
      <c r="K46" s="104">
        <f>ROUND(IF($I$46="1/2-time",K47,K48),0)</f>
        <v>7854</v>
      </c>
      <c r="M46" s="104">
        <f>ROUND(IF($I$46="1/2-time",M47,M48),0)</f>
        <v>8184</v>
      </c>
      <c r="O46" s="104">
        <f>ROUND(IF($I$46="1/2-time",O47,O48),0)</f>
        <v>0</v>
      </c>
      <c r="Q46" s="104">
        <f>ROUND(IF($I$46="1/2-time",Q47,Q48),0)</f>
        <v>0</v>
      </c>
      <c r="S46" s="104">
        <f>ROUND(IF($I$46="1/2-time",S47,S48),0)</f>
        <v>0</v>
      </c>
    </row>
    <row r="47" spans="1:19" s="103" customFormat="1" ht="3" customHeight="1" x14ac:dyDescent="0.35">
      <c r="A47" s="103">
        <v>8</v>
      </c>
      <c r="C47" s="440" t="s">
        <v>177</v>
      </c>
      <c r="D47" s="440"/>
      <c r="E47" s="440"/>
      <c r="F47" s="440"/>
      <c r="G47" s="403"/>
      <c r="H47" s="403"/>
      <c r="I47" s="403" t="s">
        <v>178</v>
      </c>
      <c r="K47" s="104">
        <f>+C53*VLOOKUP(K53,$I$171:$Q$197,5,FALSE)+C55*VLOOKUP(K55,$I$171:$Q$197,5,FALSE)+C57*VLOOKUP(K57,$I$171:$Q$197,5,FALSE)+C59*VLOOKUP(K59,$I$171:$Q$197,9,FALSE)+C61*VLOOKUP(K61,$I$171:$Q$197,9,FALSE)+C63*VLOOKUP(K63,$I$171:$Q$197,9,FALSE)</f>
        <v>7853.9291199999998</v>
      </c>
      <c r="L47" s="104"/>
      <c r="M47" s="104">
        <f>+E53*VLOOKUP(M53,$I$171:$Q$197,5,FALSE)+E55*VLOOKUP(M55,$I$171:$Q$197,5,FALSE)+E57*VLOOKUP(M57,$I$171:$Q$197,5,FALSE)+E59*VLOOKUP(M59,$I$171:$Q$197,9,FALSE)+E61*VLOOKUP(M61,$I$171:$Q$197,9,FALSE)+E63*VLOOKUP(M63,$I$171:$Q$197,9,FALSE)</f>
        <v>8183.7941430399997</v>
      </c>
      <c r="N47" s="104"/>
      <c r="O47" s="104">
        <f>+F53*VLOOKUP(O53,$I$171:$Q$197,5,FALSE)+F55*VLOOKUP(O55,$I$171:$Q$197,5,FALSE)+F57*VLOOKUP(O57,$I$171:$Q$197,5,FALSE)+F59*VLOOKUP(O59,$I$171:$Q$197,9,FALSE)+F61*VLOOKUP(O61,$I$171:$Q$197,9,FALSE)+F63*VLOOKUP(O63,$I$171:$Q$197,9,FALSE)</f>
        <v>0</v>
      </c>
      <c r="P47" s="104"/>
      <c r="Q47" s="104">
        <f>+G53*VLOOKUP(Q53,$I$171:$Q$197,5,FALSE)+G55*VLOOKUP(Q55,$I$171:$Q$197,5,FALSE)+G57*VLOOKUP(Q57,$I$171:$Q$197,5,FALSE)+G59*VLOOKUP(Q59,$I$171:$Q$197,9,FALSE)+G61*VLOOKUP(Q61,$I$171:$Q$197,9,FALSE)+G63*VLOOKUP(Q63,$I$171:$Q$197,9,FALSE)</f>
        <v>0</v>
      </c>
      <c r="R47" s="104"/>
      <c r="S47" s="104">
        <f>+H53*VLOOKUP(S53,$I$171:$Q$197,5,FALSE)+H55*VLOOKUP(S55,$I$171:$Q$197,5,FALSE)+H57*VLOOKUP(S57,$I$171:$Q$197,5,FALSE)+H59*VLOOKUP(S59,$I$171:$Q$197,9,FALSE)+H61*VLOOKUP(S61,$I$171:$Q$197,9,FALSE)+H63*VLOOKUP(S63,$I$171:$Q$197,9,FALSE)</f>
        <v>0</v>
      </c>
    </row>
    <row r="48" spans="1:19" s="103" customFormat="1" ht="2.25" customHeight="1" x14ac:dyDescent="0.35">
      <c r="A48" s="103">
        <v>8</v>
      </c>
      <c r="C48" s="440" t="s">
        <v>177</v>
      </c>
      <c r="D48" s="440"/>
      <c r="E48" s="440"/>
      <c r="F48" s="440"/>
      <c r="G48" s="403"/>
      <c r="H48" s="403"/>
      <c r="I48" s="403" t="s">
        <v>179</v>
      </c>
      <c r="K48" s="104">
        <f>+C53*VLOOKUP(K53,$I$171:$Q$197,3,FALSE)+C55*VLOOKUP(K55,$I$171:$Q$197,3,FALSE)+C57*VLOOKUP(K57,$I$171:$Q$197,3,FALSE)+C59*VLOOKUP(K59,$I$171:$Q$197,7,FALSE)+C61*VLOOKUP(K61,$I$171:$Q$197,7,FALSE)+C63*VLOOKUP(K63,$I$171:$Q$197,7,FALSE)</f>
        <v>4021.9741200000003</v>
      </c>
      <c r="M48" s="104">
        <f>+E53*VLOOKUP(M53,$I$171:$Q$197,3,FALSE)+E55*VLOOKUP(M55,$I$171:$Q$197,3,FALSE)+E57*VLOOKUP(M57,$I$171:$Q$197,3,FALSE)+E59*VLOOKUP(M59,$I$171:$Q$197,7,FALSE)+E61*VLOOKUP(M61,$I$171:$Q$197,7,FALSE)+E63*VLOOKUP(M63,$I$171:$Q$197,7,FALSE)</f>
        <v>4190.8970330400007</v>
      </c>
      <c r="O48" s="104">
        <f>+F53*VLOOKUP(O53,$I$171:$Q$197,3,FALSE)+F55*VLOOKUP(O55,$I$171:$Q$197,3,FALSE)+F57*VLOOKUP(O57,$I$171:$Q$197,3,FALSE)+F59*VLOOKUP(O59,$I$171:$Q$197,7,FALSE)+F61*VLOOKUP(O61,$I$171:$Q$197,7,FALSE)+F63*VLOOKUP(O63,$I$171:$Q$197,7,FALSE)</f>
        <v>0</v>
      </c>
      <c r="Q48" s="104">
        <f>+G53*VLOOKUP(Q53,$I$171:$Q$197,3,FALSE)+G55*VLOOKUP(Q55,$I$171:$Q$197,3,FALSE)+G57*VLOOKUP(Q57,$I$171:$Q$197,3,FALSE)+G59*VLOOKUP(Q59,$I$171:$Q$197,7,FALSE)+G61*VLOOKUP(Q61,$I$171:$Q$197,7,FALSE)+G63*VLOOKUP(Q63,$I$171:$Q$197,7,FALSE)</f>
        <v>0</v>
      </c>
      <c r="S48" s="104">
        <f>+H53*VLOOKUP(S53,$I$171:$Q$197,3,FALSE)+H55*VLOOKUP(S55,$I$171:$Q$197,3,FALSE)+H57*VLOOKUP(S57,$I$171:$Q$197,3,FALSE)+H59*VLOOKUP(S59,$I$171:$Q$197,7,FALSE)+H61*VLOOKUP(S61,$I$171:$Q$197,7,FALSE)+H63*VLOOKUP(S63,$I$171:$Q$197,7,FALSE)</f>
        <v>0</v>
      </c>
    </row>
    <row r="49" spans="1:19" s="103" customFormat="1" ht="6" customHeight="1" x14ac:dyDescent="0.35">
      <c r="C49" s="195"/>
      <c r="D49" s="195"/>
      <c r="E49" s="195"/>
      <c r="F49" s="195"/>
      <c r="G49" s="195"/>
      <c r="H49" s="195"/>
      <c r="I49" s="195"/>
      <c r="J49" s="196"/>
      <c r="K49" s="196"/>
      <c r="L49" s="196"/>
      <c r="M49" s="196"/>
      <c r="N49" s="196"/>
      <c r="O49" s="196"/>
      <c r="P49" s="196"/>
      <c r="Q49" s="196"/>
      <c r="R49" s="196"/>
      <c r="S49" s="196"/>
    </row>
    <row r="50" spans="1:19" s="191" customFormat="1" ht="6" customHeight="1" x14ac:dyDescent="0.25">
      <c r="A50" s="197"/>
      <c r="C50" s="198"/>
      <c r="D50" s="198"/>
      <c r="E50" s="198"/>
      <c r="F50" s="199"/>
      <c r="G50" s="199"/>
      <c r="H50" s="198"/>
      <c r="I50" s="106"/>
      <c r="K50" s="106"/>
      <c r="L50" s="106"/>
      <c r="M50" s="106"/>
      <c r="N50" s="106"/>
      <c r="O50" s="106"/>
      <c r="P50" s="106"/>
      <c r="Q50" s="106"/>
      <c r="R50" s="106"/>
      <c r="S50" s="106"/>
    </row>
    <row r="51" spans="1:19" s="191" customFormat="1" ht="25" customHeight="1" x14ac:dyDescent="0.35">
      <c r="A51" s="103"/>
      <c r="C51" s="441" t="s">
        <v>204</v>
      </c>
      <c r="D51" s="442"/>
      <c r="E51" s="442"/>
      <c r="F51" s="442"/>
      <c r="G51" s="442"/>
      <c r="H51" s="443"/>
      <c r="I51" s="106"/>
      <c r="K51" s="104"/>
      <c r="L51" s="106"/>
      <c r="M51" s="104"/>
      <c r="N51" s="104"/>
      <c r="O51" s="104"/>
      <c r="P51" s="104"/>
      <c r="Q51" s="104"/>
      <c r="R51" s="104"/>
      <c r="S51" s="104"/>
    </row>
    <row r="52" spans="1:19" s="191" customFormat="1" ht="12" customHeight="1" x14ac:dyDescent="0.25">
      <c r="C52" s="200" t="s">
        <v>25</v>
      </c>
      <c r="D52" s="200"/>
      <c r="E52" s="200" t="s">
        <v>26</v>
      </c>
      <c r="F52" s="200" t="s">
        <v>27</v>
      </c>
      <c r="G52" s="200" t="s">
        <v>28</v>
      </c>
      <c r="H52" s="200" t="s">
        <v>29</v>
      </c>
      <c r="I52" s="200"/>
      <c r="J52" s="201"/>
      <c r="K52" s="201"/>
      <c r="L52" s="201"/>
      <c r="M52" s="201"/>
      <c r="N52" s="201"/>
      <c r="O52" s="201"/>
      <c r="P52" s="201"/>
      <c r="Q52" s="201"/>
      <c r="R52" s="201"/>
      <c r="S52" s="201"/>
    </row>
    <row r="53" spans="1:19" s="191" customFormat="1" ht="25" customHeight="1" x14ac:dyDescent="0.25">
      <c r="A53" s="436" t="s">
        <v>181</v>
      </c>
      <c r="C53" s="437"/>
      <c r="D53" s="438"/>
      <c r="E53" s="404"/>
      <c r="F53" s="404"/>
      <c r="G53" s="202"/>
      <c r="H53" s="404"/>
      <c r="I53" s="106">
        <v>0</v>
      </c>
      <c r="K53" s="203" t="s">
        <v>182</v>
      </c>
      <c r="L53" s="106"/>
      <c r="M53" s="203" t="s">
        <v>183</v>
      </c>
      <c r="N53" s="106"/>
      <c r="O53" s="203" t="s">
        <v>184</v>
      </c>
      <c r="P53" s="106"/>
      <c r="Q53" s="203" t="s">
        <v>185</v>
      </c>
      <c r="R53" s="106"/>
      <c r="S53" s="203" t="s">
        <v>186</v>
      </c>
    </row>
    <row r="54" spans="1:19" s="191" customFormat="1" ht="6" customHeight="1" x14ac:dyDescent="0.25">
      <c r="A54" s="444"/>
      <c r="C54" s="204"/>
      <c r="D54" s="204"/>
      <c r="E54" s="198"/>
      <c r="F54" s="198"/>
      <c r="G54" s="198"/>
      <c r="H54" s="198"/>
      <c r="I54" s="106"/>
      <c r="K54" s="106"/>
      <c r="L54" s="106"/>
      <c r="M54" s="106"/>
      <c r="N54" s="106"/>
      <c r="O54" s="106"/>
      <c r="P54" s="106"/>
      <c r="Q54" s="106"/>
      <c r="R54" s="106"/>
      <c r="S54" s="106"/>
    </row>
    <row r="55" spans="1:19" s="191" customFormat="1" ht="25" customHeight="1" x14ac:dyDescent="0.25">
      <c r="A55" s="444"/>
      <c r="C55" s="445"/>
      <c r="D55" s="445"/>
      <c r="E55" s="404"/>
      <c r="F55" s="205"/>
      <c r="G55" s="202"/>
      <c r="H55" s="404"/>
      <c r="I55" s="106" t="s">
        <v>187</v>
      </c>
      <c r="K55" s="203" t="s">
        <v>188</v>
      </c>
      <c r="L55" s="106"/>
      <c r="M55" s="203" t="s">
        <v>189</v>
      </c>
      <c r="N55" s="106"/>
      <c r="O55" s="203" t="s">
        <v>190</v>
      </c>
      <c r="P55" s="106"/>
      <c r="Q55" s="203" t="s">
        <v>191</v>
      </c>
      <c r="R55" s="106"/>
      <c r="S55" s="203" t="s">
        <v>192</v>
      </c>
    </row>
    <row r="56" spans="1:19" s="191" customFormat="1" ht="6" customHeight="1" x14ac:dyDescent="0.25">
      <c r="A56" s="444"/>
      <c r="C56" s="204"/>
      <c r="D56" s="204"/>
      <c r="E56" s="198"/>
      <c r="F56" s="198"/>
      <c r="G56" s="198"/>
      <c r="H56" s="198"/>
      <c r="I56" s="106"/>
      <c r="K56" s="106"/>
      <c r="L56" s="106"/>
      <c r="M56" s="106"/>
      <c r="N56" s="106"/>
      <c r="O56" s="106"/>
      <c r="P56" s="106"/>
      <c r="Q56" s="106"/>
      <c r="R56" s="106"/>
      <c r="S56" s="106"/>
    </row>
    <row r="57" spans="1:19" s="191" customFormat="1" ht="25" customHeight="1" x14ac:dyDescent="0.25">
      <c r="A57" s="444"/>
      <c r="C57" s="445"/>
      <c r="D57" s="445"/>
      <c r="E57" s="404"/>
      <c r="F57" s="205"/>
      <c r="G57" s="202"/>
      <c r="H57" s="404"/>
      <c r="I57" s="106" t="s">
        <v>193</v>
      </c>
      <c r="K57" s="203" t="s">
        <v>194</v>
      </c>
      <c r="L57" s="106"/>
      <c r="M57" s="203" t="s">
        <v>195</v>
      </c>
      <c r="N57" s="106"/>
      <c r="O57" s="203" t="s">
        <v>196</v>
      </c>
      <c r="P57" s="106"/>
      <c r="Q57" s="203" t="s">
        <v>197</v>
      </c>
      <c r="R57" s="106"/>
      <c r="S57" s="203" t="s">
        <v>198</v>
      </c>
    </row>
    <row r="58" spans="1:19" s="191" customFormat="1" ht="12" customHeight="1" x14ac:dyDescent="0.25">
      <c r="C58" s="209" t="s">
        <v>25</v>
      </c>
      <c r="D58" s="209"/>
      <c r="E58" s="209" t="s">
        <v>26</v>
      </c>
      <c r="F58" s="209" t="s">
        <v>27</v>
      </c>
      <c r="G58" s="209" t="s">
        <v>28</v>
      </c>
      <c r="H58" s="209" t="s">
        <v>29</v>
      </c>
      <c r="I58" s="200"/>
      <c r="J58" s="201"/>
      <c r="K58" s="206"/>
      <c r="L58" s="206"/>
      <c r="M58" s="206"/>
      <c r="N58" s="206"/>
      <c r="O58" s="206"/>
      <c r="P58" s="206"/>
      <c r="Q58" s="206"/>
      <c r="R58" s="206"/>
      <c r="S58" s="206"/>
    </row>
    <row r="59" spans="1:19" s="191" customFormat="1" ht="25" customHeight="1" x14ac:dyDescent="0.25">
      <c r="A59" s="436" t="s">
        <v>199</v>
      </c>
      <c r="C59" s="445">
        <v>0</v>
      </c>
      <c r="D59" s="445"/>
      <c r="E59" s="404">
        <v>0</v>
      </c>
      <c r="F59" s="404"/>
      <c r="G59" s="202"/>
      <c r="H59" s="404"/>
      <c r="I59" s="106" t="s">
        <v>41</v>
      </c>
      <c r="K59" s="203" t="s">
        <v>183</v>
      </c>
      <c r="L59" s="106"/>
      <c r="M59" s="203" t="s">
        <v>184</v>
      </c>
      <c r="N59" s="106"/>
      <c r="O59" s="203" t="s">
        <v>184</v>
      </c>
      <c r="P59" s="106"/>
      <c r="Q59" s="203" t="s">
        <v>185</v>
      </c>
      <c r="R59" s="106"/>
      <c r="S59" s="203" t="s">
        <v>186</v>
      </c>
    </row>
    <row r="60" spans="1:19" s="191" customFormat="1" ht="6" customHeight="1" x14ac:dyDescent="0.25">
      <c r="A60" s="444"/>
      <c r="C60" s="204"/>
      <c r="D60" s="204"/>
      <c r="E60" s="198"/>
      <c r="F60" s="198"/>
      <c r="G60" s="198"/>
      <c r="H60" s="198"/>
      <c r="I60" s="106"/>
      <c r="K60" s="106"/>
      <c r="L60" s="106"/>
      <c r="M60" s="106"/>
      <c r="N60" s="106"/>
      <c r="O60" s="106"/>
      <c r="P60" s="106"/>
      <c r="Q60" s="106"/>
      <c r="R60" s="106"/>
      <c r="S60" s="106"/>
    </row>
    <row r="61" spans="1:19" s="191" customFormat="1" ht="25" customHeight="1" x14ac:dyDescent="0.25">
      <c r="A61" s="444"/>
      <c r="C61" s="445">
        <v>0</v>
      </c>
      <c r="D61" s="445"/>
      <c r="E61" s="404">
        <v>0</v>
      </c>
      <c r="F61" s="205"/>
      <c r="G61" s="202"/>
      <c r="H61" s="404"/>
      <c r="I61" s="106" t="s">
        <v>187</v>
      </c>
      <c r="K61" s="203" t="s">
        <v>189</v>
      </c>
      <c r="L61" s="106"/>
      <c r="M61" s="203" t="s">
        <v>190</v>
      </c>
      <c r="N61" s="106"/>
      <c r="O61" s="203" t="s">
        <v>190</v>
      </c>
      <c r="P61" s="106"/>
      <c r="Q61" s="203" t="s">
        <v>191</v>
      </c>
      <c r="R61" s="106"/>
      <c r="S61" s="203" t="s">
        <v>192</v>
      </c>
    </row>
    <row r="62" spans="1:19" s="191" customFormat="1" ht="6.75" customHeight="1" x14ac:dyDescent="0.25">
      <c r="A62" s="444"/>
      <c r="C62" s="204"/>
      <c r="D62" s="204"/>
      <c r="E62" s="198"/>
      <c r="F62" s="198"/>
      <c r="G62" s="198"/>
      <c r="H62" s="198"/>
      <c r="I62" s="106"/>
      <c r="K62" s="106"/>
      <c r="L62" s="106"/>
      <c r="M62" s="106"/>
      <c r="N62" s="106"/>
      <c r="O62" s="106"/>
      <c r="P62" s="106"/>
      <c r="Q62" s="106"/>
      <c r="R62" s="106"/>
      <c r="S62" s="106"/>
    </row>
    <row r="63" spans="1:19" s="191" customFormat="1" ht="24.75" customHeight="1" x14ac:dyDescent="0.25">
      <c r="A63" s="444"/>
      <c r="C63" s="445">
        <v>1</v>
      </c>
      <c r="D63" s="445"/>
      <c r="E63" s="404">
        <v>1</v>
      </c>
      <c r="F63" s="205"/>
      <c r="G63" s="202"/>
      <c r="H63" s="404"/>
      <c r="I63" s="106" t="s">
        <v>193</v>
      </c>
      <c r="K63" s="203" t="s">
        <v>195</v>
      </c>
      <c r="L63" s="106"/>
      <c r="M63" s="203" t="s">
        <v>196</v>
      </c>
      <c r="N63" s="106"/>
      <c r="O63" s="203" t="s">
        <v>196</v>
      </c>
      <c r="P63" s="106"/>
      <c r="Q63" s="203" t="s">
        <v>197</v>
      </c>
      <c r="R63" s="106"/>
      <c r="S63" s="203" t="s">
        <v>198</v>
      </c>
    </row>
    <row r="64" spans="1:19" s="103" customFormat="1" ht="6" customHeight="1" x14ac:dyDescent="0.35">
      <c r="C64" s="195"/>
      <c r="D64" s="195"/>
      <c r="E64" s="195"/>
      <c r="F64" s="195"/>
      <c r="G64" s="195"/>
      <c r="H64" s="195"/>
      <c r="I64" s="195"/>
      <c r="J64" s="196"/>
      <c r="K64" s="196"/>
      <c r="L64" s="196"/>
      <c r="M64" s="196"/>
      <c r="N64" s="196"/>
      <c r="O64" s="196"/>
      <c r="P64" s="196"/>
      <c r="Q64" s="196"/>
      <c r="R64" s="196"/>
      <c r="S64" s="196"/>
    </row>
    <row r="65" spans="1:19" s="103" customFormat="1" ht="6" customHeight="1" x14ac:dyDescent="0.35">
      <c r="K65" s="104"/>
      <c r="M65" s="104"/>
      <c r="O65" s="104"/>
      <c r="Q65" s="104"/>
      <c r="S65" s="104"/>
    </row>
    <row r="66" spans="1:19" s="103" customFormat="1" ht="6" customHeight="1" x14ac:dyDescent="0.35">
      <c r="K66" s="104"/>
      <c r="M66" s="104"/>
      <c r="O66" s="104"/>
      <c r="Q66" s="104"/>
      <c r="S66" s="104"/>
    </row>
    <row r="67" spans="1:19" s="103" customFormat="1" ht="45" customHeight="1" x14ac:dyDescent="0.35">
      <c r="A67" s="193"/>
      <c r="C67" s="447" t="s">
        <v>205</v>
      </c>
      <c r="D67" s="447"/>
      <c r="E67" s="447"/>
      <c r="F67" s="447"/>
      <c r="G67" s="450" t="s">
        <v>175</v>
      </c>
      <c r="H67" s="450"/>
      <c r="I67" s="194" t="s">
        <v>176</v>
      </c>
      <c r="K67" s="104">
        <f>ROUND(IF($I67="1/2-time",K68,K69),0)</f>
        <v>0</v>
      </c>
      <c r="M67" s="104">
        <f>ROUND(IF($I$67="1/2-time",M68,M69),0)</f>
        <v>0</v>
      </c>
      <c r="O67" s="104">
        <f>ROUND(IF($I$67="1/2-time",O68,O69),0)</f>
        <v>0</v>
      </c>
      <c r="Q67" s="104">
        <f>ROUND(IF($I$67="1/2-time",Q68,Q69),0)</f>
        <v>0</v>
      </c>
      <c r="S67" s="104">
        <f>ROUND(IF($I$67="1/2-time",S68,S69),0)</f>
        <v>0</v>
      </c>
    </row>
    <row r="68" spans="1:19" s="103" customFormat="1" ht="14.25" hidden="1" customHeight="1" x14ac:dyDescent="0.35">
      <c r="A68" s="103">
        <v>8</v>
      </c>
      <c r="C68" s="440" t="s">
        <v>177</v>
      </c>
      <c r="D68" s="440"/>
      <c r="E68" s="440"/>
      <c r="F68" s="440"/>
      <c r="G68" s="403"/>
      <c r="H68" s="403"/>
      <c r="I68" s="403" t="s">
        <v>178</v>
      </c>
      <c r="K68" s="104">
        <f>+C74*VLOOKUP(K74,$I$201:$Q$227,5,FALSE)+C76*VLOOKUP(K76,$I$201:$Q$227,5,FALSE)+C78*VLOOKUP(K78,$I$201:$Q$227,5,FALSE)+C80*VLOOKUP(K80,$I$201:$Q$227,9,FALSE)+C82*VLOOKUP(K82,$I$201:$Q$227,9,FALSE)+C84*VLOOKUP(K84,$I$201:$Q$227,9,FALSE)</f>
        <v>0</v>
      </c>
      <c r="L68" s="104"/>
      <c r="M68" s="104">
        <f>+E74*VLOOKUP(M74,$I$201:$Q$227,5,FALSE)+E76*VLOOKUP(M76,$I$201:$Q$227,5,FALSE)+E78*VLOOKUP(M78,$I$201:$Q$227,5,FALSE)+E80*VLOOKUP(M80,$I$201:$Q$227,9,FALSE)+E82*VLOOKUP(M82,$I$201:$Q$227,9,FALSE)+E84*VLOOKUP(M84,$I$201:$Q$227,9,FALSE)</f>
        <v>0</v>
      </c>
      <c r="N68" s="104"/>
      <c r="O68" s="104">
        <f>+F74*VLOOKUP(O74,$I$201:$Q$227,5,FALSE)+F76*VLOOKUP(O76,$I$201:$Q$227,5,FALSE)+F78*VLOOKUP(O78,$I$201:$Q$227,5,FALSE)+F80*VLOOKUP(O80,$I$201:$Q$227,9,FALSE)+F82*VLOOKUP(O82,$I$201:$Q$227,9,FALSE)+F84*VLOOKUP(O84,$I$201:$Q$227,9,FALSE)</f>
        <v>0</v>
      </c>
      <c r="P68" s="104"/>
      <c r="Q68" s="104">
        <f>+G74*VLOOKUP(Q74,$I$201:$Q$227,5,FALSE)+G76*VLOOKUP(Q76,$I$201:$Q$227,5,FALSE)+G78*VLOOKUP(Q78,$I$201:$Q$227,5,FALSE)+G80*VLOOKUP(Q80,$I$201:$Q$227,9,FALSE)+G82*VLOOKUP(Q82,$I$201:$Q$227,9,FALSE)+G84*VLOOKUP(Q84,$I$201:$Q$227,9,FALSE)</f>
        <v>0</v>
      </c>
      <c r="R68" s="104"/>
      <c r="S68" s="104">
        <f>+H74*VLOOKUP(S74,$I$201:$Q$227,5,FALSE)+H76*VLOOKUP(S76,$I$201:$Q$227,5,FALSE)+H78*VLOOKUP(S78,$I$201:$Q$227,5,FALSE)+H80*VLOOKUP(S80,$I$201:$Q$227,9,FALSE)+H82*VLOOKUP(S82,$I$201:$Q$227,9,FALSE)+H84*VLOOKUP(S84,$I$201:$Q$227,9,FALSE)</f>
        <v>0</v>
      </c>
    </row>
    <row r="69" spans="1:19" s="103" customFormat="1" ht="21.75" hidden="1" customHeight="1" x14ac:dyDescent="0.35">
      <c r="A69" s="103">
        <v>8</v>
      </c>
      <c r="C69" s="440" t="s">
        <v>177</v>
      </c>
      <c r="D69" s="440"/>
      <c r="E69" s="440"/>
      <c r="F69" s="440"/>
      <c r="G69" s="403"/>
      <c r="H69" s="403"/>
      <c r="I69" s="403" t="s">
        <v>179</v>
      </c>
      <c r="K69" s="104">
        <f>+C74*VLOOKUP(K74,$I$201:$Q$227,3,FALSE)+C76*VLOOKUP(K76,$I$201:$Q$227,3,FALSE)+C78*VLOOKUP(K78,$I$201:$Q$227,3,FALSE)+C80*VLOOKUP(K80,$I$201:$Q$227,7,FALSE)+C82*VLOOKUP(K82,$I$201:$Q$227,7,FALSE)+C84*VLOOKUP(K84,$I$201:$Q$227,7,FALSE)</f>
        <v>0</v>
      </c>
      <c r="M69" s="104">
        <f>+E74*VLOOKUP(M74,$I$201:$Q$227,3,FALSE)+E76*VLOOKUP(M76,$I$201:$Q$227,3,FALSE)+E78*VLOOKUP(M78,$I$201:$Q$227,3,FALSE)+E80*VLOOKUP(M80,$I$201:$Q$227,7,FALSE)+E82*VLOOKUP(M82,$I$201:$Q$227,7,FALSE)+E84*VLOOKUP(M84,$I$201:$Q$227,7,FALSE)</f>
        <v>0</v>
      </c>
      <c r="O69" s="104">
        <f>+F74*VLOOKUP(O74,$I$201:$Q$227,3,FALSE)+F76*VLOOKUP(O76,$I$201:$Q$227,3,FALSE)+F78*VLOOKUP(O78,$I$201:$Q$227,3,FALSE)+F80*VLOOKUP(O80,$I$201:$Q$227,7,FALSE)+F82*VLOOKUP(O82,$I$201:$Q$227,7,FALSE)+F84*VLOOKUP(O84,$I$201:$Q$227,7,FALSE)</f>
        <v>0</v>
      </c>
      <c r="Q69" s="104">
        <f>+G74*VLOOKUP(Q74,$I$201:$Q$227,3,FALSE)+G76*VLOOKUP(Q76,$I$201:$Q$227,3,FALSE)+G78*VLOOKUP(Q78,$I$201:$Q$227,3,FALSE)+G80*VLOOKUP(Q80,$I$201:$Q$227,7,FALSE)+G82*VLOOKUP(Q82,$I$201:$Q$227,7,FALSE)+G84*VLOOKUP(Q84,$I$201:$Q$227,7,FALSE)</f>
        <v>0</v>
      </c>
      <c r="S69" s="104">
        <f>+H74*VLOOKUP(S74,$I$201:$Q$227,3,FALSE)+H76*VLOOKUP(S76,$I$201:$Q$227,3,FALSE)+H78*VLOOKUP(S78,$I$201:$Q$227,3,FALSE)+H80*VLOOKUP(S80,$I$201:$Q$227,7,FALSE)+H82*VLOOKUP(S82,$I$201:$Q$227,7,FALSE)+H84*VLOOKUP(S84,$I$201:$Q$227,7,FALSE)</f>
        <v>0</v>
      </c>
    </row>
    <row r="70" spans="1:19" s="103" customFormat="1" ht="6" customHeight="1" x14ac:dyDescent="0.35">
      <c r="C70" s="195"/>
      <c r="D70" s="195"/>
      <c r="E70" s="195"/>
      <c r="F70" s="195"/>
      <c r="G70" s="195"/>
      <c r="H70" s="195"/>
      <c r="I70" s="195"/>
      <c r="J70" s="196"/>
      <c r="K70" s="196"/>
      <c r="L70" s="196"/>
      <c r="M70" s="196"/>
      <c r="N70" s="196"/>
      <c r="O70" s="196"/>
      <c r="P70" s="196"/>
      <c r="Q70" s="196"/>
      <c r="R70" s="196"/>
      <c r="S70" s="196"/>
    </row>
    <row r="71" spans="1:19" s="191" customFormat="1" ht="6" customHeight="1" x14ac:dyDescent="0.25">
      <c r="A71" s="197"/>
      <c r="C71" s="198"/>
      <c r="D71" s="198"/>
      <c r="E71" s="198"/>
      <c r="F71" s="199"/>
      <c r="G71" s="199"/>
      <c r="H71" s="198"/>
      <c r="I71" s="106"/>
      <c r="K71" s="106"/>
      <c r="L71" s="106"/>
      <c r="M71" s="106"/>
      <c r="N71" s="106"/>
      <c r="O71" s="106"/>
      <c r="P71" s="106"/>
      <c r="Q71" s="106"/>
      <c r="R71" s="106"/>
      <c r="S71" s="106"/>
    </row>
    <row r="72" spans="1:19" s="191" customFormat="1" ht="25" customHeight="1" x14ac:dyDescent="0.35">
      <c r="A72" s="103"/>
      <c r="C72" s="441" t="s">
        <v>206</v>
      </c>
      <c r="D72" s="442"/>
      <c r="E72" s="442"/>
      <c r="F72" s="442"/>
      <c r="G72" s="442"/>
      <c r="H72" s="443"/>
      <c r="I72" s="106"/>
      <c r="K72" s="104"/>
      <c r="L72" s="106"/>
      <c r="M72" s="104"/>
      <c r="N72" s="104"/>
      <c r="O72" s="104"/>
      <c r="P72" s="104"/>
      <c r="Q72" s="104"/>
      <c r="R72" s="104"/>
      <c r="S72" s="104"/>
    </row>
    <row r="73" spans="1:19" s="191" customFormat="1" ht="12" customHeight="1" x14ac:dyDescent="0.25">
      <c r="C73" s="200" t="s">
        <v>25</v>
      </c>
      <c r="D73" s="200"/>
      <c r="E73" s="200" t="s">
        <v>26</v>
      </c>
      <c r="F73" s="200" t="s">
        <v>27</v>
      </c>
      <c r="G73" s="200" t="s">
        <v>28</v>
      </c>
      <c r="H73" s="200" t="s">
        <v>29</v>
      </c>
      <c r="I73" s="200"/>
      <c r="J73" s="201"/>
      <c r="K73" s="201"/>
      <c r="L73" s="201"/>
      <c r="M73" s="201"/>
      <c r="N73" s="201"/>
      <c r="O73" s="201"/>
      <c r="P73" s="201"/>
      <c r="Q73" s="201"/>
      <c r="R73" s="201"/>
      <c r="S73" s="201"/>
    </row>
    <row r="74" spans="1:19" s="191" customFormat="1" ht="25" customHeight="1" x14ac:dyDescent="0.25">
      <c r="A74" s="436" t="s">
        <v>181</v>
      </c>
      <c r="C74" s="437"/>
      <c r="D74" s="438"/>
      <c r="E74" s="404"/>
      <c r="F74" s="404"/>
      <c r="G74" s="202"/>
      <c r="H74" s="404"/>
      <c r="I74" s="106" t="s">
        <v>41</v>
      </c>
      <c r="K74" s="203" t="s">
        <v>182</v>
      </c>
      <c r="L74" s="106"/>
      <c r="M74" s="203" t="s">
        <v>183</v>
      </c>
      <c r="N74" s="106"/>
      <c r="O74" s="203" t="s">
        <v>184</v>
      </c>
      <c r="P74" s="106"/>
      <c r="Q74" s="203" t="s">
        <v>185</v>
      </c>
      <c r="R74" s="106"/>
      <c r="S74" s="203" t="s">
        <v>186</v>
      </c>
    </row>
    <row r="75" spans="1:19" s="191" customFormat="1" ht="6" customHeight="1" x14ac:dyDescent="0.25">
      <c r="A75" s="436"/>
      <c r="C75" s="204"/>
      <c r="D75" s="204"/>
      <c r="E75" s="198"/>
      <c r="F75" s="198"/>
      <c r="G75" s="198"/>
      <c r="H75" s="198"/>
      <c r="I75" s="106"/>
      <c r="K75" s="106"/>
      <c r="L75" s="106"/>
      <c r="M75" s="106"/>
      <c r="N75" s="106"/>
      <c r="O75" s="106"/>
      <c r="P75" s="106"/>
      <c r="Q75" s="106"/>
      <c r="R75" s="106"/>
      <c r="S75" s="106"/>
    </row>
    <row r="76" spans="1:19" s="191" customFormat="1" ht="25" customHeight="1" x14ac:dyDescent="0.25">
      <c r="A76" s="436"/>
      <c r="C76" s="437"/>
      <c r="D76" s="438"/>
      <c r="E76" s="404"/>
      <c r="F76" s="205"/>
      <c r="G76" s="202"/>
      <c r="H76" s="404"/>
      <c r="I76" s="106" t="s">
        <v>187</v>
      </c>
      <c r="K76" s="203" t="s">
        <v>188</v>
      </c>
      <c r="L76" s="106"/>
      <c r="M76" s="203" t="s">
        <v>189</v>
      </c>
      <c r="N76" s="106"/>
      <c r="O76" s="203" t="s">
        <v>190</v>
      </c>
      <c r="P76" s="106"/>
      <c r="Q76" s="203" t="s">
        <v>191</v>
      </c>
      <c r="R76" s="106"/>
      <c r="S76" s="203" t="s">
        <v>192</v>
      </c>
    </row>
    <row r="77" spans="1:19" s="191" customFormat="1" ht="6" customHeight="1" x14ac:dyDescent="0.25">
      <c r="A77" s="436"/>
      <c r="C77" s="204"/>
      <c r="D77" s="204"/>
      <c r="E77" s="198"/>
      <c r="F77" s="198"/>
      <c r="G77" s="198"/>
      <c r="H77" s="198"/>
      <c r="I77" s="106"/>
      <c r="K77" s="106"/>
      <c r="L77" s="106"/>
      <c r="M77" s="106"/>
      <c r="N77" s="106"/>
      <c r="O77" s="106"/>
      <c r="P77" s="106"/>
      <c r="Q77" s="106"/>
      <c r="R77" s="106"/>
      <c r="S77" s="106"/>
    </row>
    <row r="78" spans="1:19" s="191" customFormat="1" ht="25" customHeight="1" x14ac:dyDescent="0.25">
      <c r="A78" s="436"/>
      <c r="C78" s="437"/>
      <c r="D78" s="438"/>
      <c r="E78" s="404"/>
      <c r="F78" s="205"/>
      <c r="G78" s="202"/>
      <c r="H78" s="404"/>
      <c r="I78" s="106" t="s">
        <v>193</v>
      </c>
      <c r="K78" s="203" t="s">
        <v>194</v>
      </c>
      <c r="L78" s="106"/>
      <c r="M78" s="203" t="s">
        <v>195</v>
      </c>
      <c r="N78" s="106"/>
      <c r="O78" s="203" t="s">
        <v>196</v>
      </c>
      <c r="P78" s="106"/>
      <c r="Q78" s="203" t="s">
        <v>197</v>
      </c>
      <c r="R78" s="106"/>
      <c r="S78" s="203" t="s">
        <v>198</v>
      </c>
    </row>
    <row r="79" spans="1:19" s="191" customFormat="1" ht="12" customHeight="1" x14ac:dyDescent="0.25">
      <c r="C79" s="209" t="s">
        <v>25</v>
      </c>
      <c r="D79" s="209"/>
      <c r="E79" s="209" t="s">
        <v>26</v>
      </c>
      <c r="F79" s="209" t="s">
        <v>27</v>
      </c>
      <c r="G79" s="209" t="s">
        <v>28</v>
      </c>
      <c r="H79" s="209" t="s">
        <v>29</v>
      </c>
      <c r="I79" s="200"/>
      <c r="J79" s="201"/>
      <c r="K79" s="206"/>
      <c r="L79" s="206"/>
      <c r="M79" s="206"/>
      <c r="N79" s="206"/>
      <c r="O79" s="206"/>
      <c r="P79" s="206"/>
      <c r="Q79" s="206"/>
      <c r="R79" s="206"/>
      <c r="S79" s="206"/>
    </row>
    <row r="80" spans="1:19" s="191" customFormat="1" ht="25" customHeight="1" x14ac:dyDescent="0.25">
      <c r="A80" s="436" t="s">
        <v>199</v>
      </c>
      <c r="C80" s="437"/>
      <c r="D80" s="438"/>
      <c r="E80" s="404"/>
      <c r="F80" s="404"/>
      <c r="G80" s="202"/>
      <c r="H80" s="404"/>
      <c r="I80" s="106" t="s">
        <v>41</v>
      </c>
      <c r="K80" s="203" t="s">
        <v>182</v>
      </c>
      <c r="L80" s="106"/>
      <c r="M80" s="203" t="s">
        <v>183</v>
      </c>
      <c r="N80" s="106"/>
      <c r="O80" s="203" t="s">
        <v>184</v>
      </c>
      <c r="P80" s="106"/>
      <c r="Q80" s="203" t="s">
        <v>185</v>
      </c>
      <c r="R80" s="106"/>
      <c r="S80" s="203" t="s">
        <v>186</v>
      </c>
    </row>
    <row r="81" spans="1:19" s="191" customFormat="1" ht="6" customHeight="1" x14ac:dyDescent="0.25">
      <c r="A81" s="436"/>
      <c r="C81" s="204"/>
      <c r="D81" s="204"/>
      <c r="E81" s="198"/>
      <c r="F81" s="198"/>
      <c r="G81" s="198"/>
      <c r="H81" s="198"/>
      <c r="I81" s="106"/>
      <c r="K81" s="106"/>
      <c r="L81" s="106"/>
      <c r="M81" s="106"/>
      <c r="N81" s="106"/>
      <c r="O81" s="106"/>
      <c r="P81" s="106"/>
      <c r="Q81" s="106"/>
      <c r="R81" s="106"/>
      <c r="S81" s="106"/>
    </row>
    <row r="82" spans="1:19" s="191" customFormat="1" ht="25" customHeight="1" x14ac:dyDescent="0.25">
      <c r="A82" s="436"/>
      <c r="C82" s="437"/>
      <c r="D82" s="438"/>
      <c r="E82" s="404"/>
      <c r="F82" s="205"/>
      <c r="G82" s="202"/>
      <c r="H82" s="404"/>
      <c r="I82" s="106" t="s">
        <v>187</v>
      </c>
      <c r="K82" s="203" t="s">
        <v>188</v>
      </c>
      <c r="L82" s="106"/>
      <c r="M82" s="203" t="s">
        <v>189</v>
      </c>
      <c r="N82" s="106"/>
      <c r="O82" s="203" t="s">
        <v>190</v>
      </c>
      <c r="P82" s="106"/>
      <c r="Q82" s="203" t="s">
        <v>191</v>
      </c>
      <c r="R82" s="106"/>
      <c r="S82" s="203" t="s">
        <v>192</v>
      </c>
    </row>
    <row r="83" spans="1:19" s="191" customFormat="1" ht="6.75" customHeight="1" x14ac:dyDescent="0.25">
      <c r="A83" s="436"/>
      <c r="C83" s="204"/>
      <c r="D83" s="204"/>
      <c r="E83" s="198"/>
      <c r="F83" s="198"/>
      <c r="G83" s="198"/>
      <c r="H83" s="198"/>
      <c r="I83" s="106"/>
      <c r="K83" s="106"/>
      <c r="L83" s="106"/>
      <c r="M83" s="106"/>
      <c r="N83" s="106"/>
      <c r="O83" s="106"/>
      <c r="P83" s="106"/>
      <c r="Q83" s="106"/>
      <c r="R83" s="106"/>
      <c r="S83" s="106"/>
    </row>
    <row r="84" spans="1:19" s="191" customFormat="1" ht="24.75" customHeight="1" x14ac:dyDescent="0.25">
      <c r="A84" s="436"/>
      <c r="C84" s="437"/>
      <c r="D84" s="438"/>
      <c r="E84" s="404"/>
      <c r="F84" s="205"/>
      <c r="G84" s="202"/>
      <c r="H84" s="404"/>
      <c r="I84" s="106" t="s">
        <v>193</v>
      </c>
      <c r="K84" s="203" t="s">
        <v>194</v>
      </c>
      <c r="L84" s="106"/>
      <c r="M84" s="203" t="s">
        <v>195</v>
      </c>
      <c r="N84" s="106"/>
      <c r="O84" s="203" t="s">
        <v>196</v>
      </c>
      <c r="P84" s="106"/>
      <c r="Q84" s="203" t="s">
        <v>197</v>
      </c>
      <c r="R84" s="106"/>
      <c r="S84" s="203" t="s">
        <v>198</v>
      </c>
    </row>
    <row r="85" spans="1:19" s="103" customFormat="1" ht="28.5" customHeight="1" x14ac:dyDescent="0.35">
      <c r="A85" s="439" t="s">
        <v>207</v>
      </c>
      <c r="B85" s="439"/>
      <c r="C85" s="439"/>
      <c r="D85" s="439"/>
      <c r="E85" s="439"/>
      <c r="F85" s="439"/>
      <c r="G85" s="439"/>
      <c r="H85" s="439"/>
      <c r="I85" s="439"/>
      <c r="K85" s="104"/>
      <c r="M85" s="104"/>
      <c r="O85" s="104"/>
      <c r="Q85" s="104"/>
      <c r="S85" s="104"/>
    </row>
    <row r="86" spans="1:19" s="103" customFormat="1" ht="11.25" customHeight="1" x14ac:dyDescent="0.35">
      <c r="A86" s="439"/>
      <c r="B86" s="439"/>
      <c r="C86" s="439"/>
      <c r="D86" s="439"/>
      <c r="E86" s="439"/>
      <c r="F86" s="439"/>
      <c r="G86" s="439"/>
      <c r="H86" s="439"/>
      <c r="I86" s="439"/>
      <c r="K86" s="104"/>
      <c r="M86" s="104"/>
      <c r="O86" s="104"/>
      <c r="Q86" s="104"/>
      <c r="S86" s="104"/>
    </row>
    <row r="87" spans="1:19" s="103" customFormat="1" ht="11.25" customHeight="1" x14ac:dyDescent="0.35">
      <c r="A87" s="402"/>
      <c r="B87" s="402"/>
      <c r="C87" s="402"/>
      <c r="D87" s="402"/>
      <c r="E87" s="402"/>
      <c r="F87" s="402"/>
      <c r="G87" s="402"/>
      <c r="H87" s="402"/>
      <c r="I87" s="402"/>
      <c r="K87" s="104"/>
      <c r="M87" s="104"/>
      <c r="O87" s="104"/>
      <c r="Q87" s="104"/>
      <c r="S87" s="104"/>
    </row>
    <row r="88" spans="1:19" s="103" customFormat="1" ht="45" customHeight="1" x14ac:dyDescent="0.35">
      <c r="A88" s="193"/>
      <c r="C88" s="447" t="s">
        <v>208</v>
      </c>
      <c r="D88" s="447"/>
      <c r="E88" s="447"/>
      <c r="F88" s="447"/>
      <c r="G88" s="450" t="s">
        <v>175</v>
      </c>
      <c r="H88" s="450"/>
      <c r="I88" s="194" t="s">
        <v>176</v>
      </c>
      <c r="K88" s="104">
        <f>ROUND(IF($I88="1/2-time",K89,K90),0)</f>
        <v>0</v>
      </c>
      <c r="M88" s="104">
        <f>ROUND(IF(I88="1/2-time",M89,M90),0)</f>
        <v>0</v>
      </c>
      <c r="O88" s="104">
        <f>ROUND(IF($I$88="1/2-time",O89,O90),0)</f>
        <v>0</v>
      </c>
      <c r="Q88" s="104">
        <f>ROUND(IF($I$88="1/2-time",Q89,Q90),0)</f>
        <v>0</v>
      </c>
      <c r="S88" s="104">
        <f>ROUND(IF($I$88="1/2-time",S89,S90),0)</f>
        <v>0</v>
      </c>
    </row>
    <row r="89" spans="1:19" s="103" customFormat="1" ht="14.25" hidden="1" customHeight="1" x14ac:dyDescent="0.35">
      <c r="A89" s="103">
        <v>8</v>
      </c>
      <c r="C89" s="440" t="s">
        <v>177</v>
      </c>
      <c r="D89" s="440"/>
      <c r="E89" s="440"/>
      <c r="F89" s="440"/>
      <c r="G89" s="403"/>
      <c r="H89" s="403"/>
      <c r="I89" s="403" t="s">
        <v>178</v>
      </c>
      <c r="K89" s="104">
        <f>+C95*VLOOKUP(K95,$I$231:$Q$257,5,FALSE)+C97*VLOOKUP(K97,$I$231:$Q$257,5,FALSE)+C99*VLOOKUP(K99,$I$231:$Q$257,5,FALSE)+C101*VLOOKUP(K101,$I$231:$Q$257,9,FALSE)+C103*VLOOKUP(K103,$I$231:$Q$257,9,FALSE)+C105*VLOOKUP(K105,$I$231:$Q$257,9,FALSE)</f>
        <v>0</v>
      </c>
      <c r="L89" s="104"/>
      <c r="M89" s="104">
        <f>+E95*VLOOKUP(M95,$I$231:$Q$257,5,FALSE)+E97*VLOOKUP(M97,$I$231:$Q$257,5,FALSE)+E99*VLOOKUP(M99,$I$231:$Q$257,5,FALSE)+E101*VLOOKUP(M101,$I$231:$Q$257,9,FALSE)+E103*VLOOKUP(M103,$I$231:$Q$257,9,FALSE)+E105*VLOOKUP(M105,$I$231:$Q$257,9,FALSE)</f>
        <v>0</v>
      </c>
      <c r="N89" s="104"/>
      <c r="O89" s="104">
        <f>+F95*VLOOKUP(O95,$I$231:$Q$257,5,FALSE)+F97*VLOOKUP(O97,$I$231:$Q$257,5,FALSE)+F99*VLOOKUP(O99,$I$231:$Q$257,5,FALSE)+F101*VLOOKUP(O101,$I$231:$Q$257,9,FALSE)+F103*VLOOKUP(O103,$I$231:$Q$257,9,FALSE)+F105*VLOOKUP(O105,$I$231:$Q$257,9,FALSE)</f>
        <v>0</v>
      </c>
      <c r="P89" s="104"/>
      <c r="Q89" s="104">
        <f>+G95*VLOOKUP(Q95,$I$231:$Q$257,5,FALSE)+G97*VLOOKUP(Q97,$I$231:$Q$257,5,FALSE)+G99*VLOOKUP(Q99,$I$231:$Q$257,5,FALSE)+G101*VLOOKUP(Q101,$I$231:$Q$257,9,FALSE)+G103*VLOOKUP(Q103,$I$231:$Q$257,9,FALSE)+G105*VLOOKUP(Q105,$I$231:$Q$257,9,FALSE)</f>
        <v>0</v>
      </c>
      <c r="R89" s="104"/>
      <c r="S89" s="104">
        <f>+H95*VLOOKUP(S95,$I$231:$Q$257,5,FALSE)+H97*VLOOKUP(S97,$I$231:$Q$257,5,FALSE)+H99*VLOOKUP(S99,$I$231:$Q$257,5,FALSE)+H101*VLOOKUP(S101,$I$231:$Q$257,9,FALSE)+H103*VLOOKUP(S103,$I$231:$Q$257,9,FALSE)+H105*VLOOKUP(S105,$I$231:$Q$257,9,FALSE)</f>
        <v>0</v>
      </c>
    </row>
    <row r="90" spans="1:19" s="103" customFormat="1" ht="21.75" hidden="1" customHeight="1" x14ac:dyDescent="0.35">
      <c r="A90" s="103">
        <v>8</v>
      </c>
      <c r="C90" s="440" t="s">
        <v>177</v>
      </c>
      <c r="D90" s="440"/>
      <c r="E90" s="440"/>
      <c r="F90" s="440"/>
      <c r="G90" s="403"/>
      <c r="H90" s="403"/>
      <c r="I90" s="403" t="s">
        <v>179</v>
      </c>
      <c r="K90" s="104">
        <f>+C95*VLOOKUP(K95,$I$231:$Q$257,3,FALSE)+C97*VLOOKUP(K97,$I$231:$Q$257,3,FALSE)+C99*VLOOKUP(K99,$I$231:$Q$257,3,FALSE)+C101*VLOOKUP(K101,$I$231:$Q$257,7,FALSE)+C103*VLOOKUP(K103,$I$231:$Q$257,7,FALSE)+C105*VLOOKUP(K105,$I$231:$Q$257,7,FALSE)</f>
        <v>0</v>
      </c>
      <c r="M90" s="104">
        <f>+E95*VLOOKUP(M95,$I$231:$Q$257,3,FALSE)+E97*VLOOKUP(M97,$I$231:$Q$257,3,FALSE)+E99*VLOOKUP(M99,$I$231:$Q$257,3,FALSE)+E101*VLOOKUP(M101,$I$231:$Q$257,7,FALSE)+E103*VLOOKUP(M103,$I$231:$Q$257,7,FALSE)+E105*VLOOKUP(M105,$I$231:$Q$257,7,FALSE)</f>
        <v>0</v>
      </c>
      <c r="O90" s="104">
        <f>+F95*VLOOKUP(O95,$I$231:$Q$257,3,FALSE)+F97*VLOOKUP(O97,$I$231:$Q$257,3,FALSE)+F99*VLOOKUP(O99,$I$231:$Q$257,3,FALSE)+F101*VLOOKUP(O101,$I$231:$Q$257,7,FALSE)+F103*VLOOKUP(O103,$I$231:$Q$257,7,FALSE)+F105*VLOOKUP(O105,$I$231:$Q$257,7,FALSE)</f>
        <v>0</v>
      </c>
      <c r="Q90" s="104">
        <f>+G95*VLOOKUP(Q95,$I$231:$Q$257,3,FALSE)+G97*VLOOKUP(Q97,$I$231:$Q$257,3,FALSE)+G99*VLOOKUP(Q99,$I$231:$Q$257,3,FALSE)+G101*VLOOKUP(Q101,$I$231:$Q$257,7,FALSE)+G103*VLOOKUP(Q103,$I$231:$Q$257,7,FALSE)+G105*VLOOKUP(Q105,$I$231:$Q$257,7,FALSE)</f>
        <v>0</v>
      </c>
      <c r="S90" s="104">
        <f>+H95*VLOOKUP(S95,$I$231:$Q$257,3,FALSE)+H97*VLOOKUP(S97,$I$231:$Q$257,3,FALSE)+H99*VLOOKUP(S99,$I$231:$Q$257,3,FALSE)+H101*VLOOKUP(S101,$I$231:$Q$257,7,FALSE)+H103*VLOOKUP(S103,$I$231:$Q$257,7,FALSE)+H105*VLOOKUP(S105,$I$231:$Q$257,7,FALSE)</f>
        <v>0</v>
      </c>
    </row>
    <row r="91" spans="1:19" s="103" customFormat="1" ht="6" customHeight="1" x14ac:dyDescent="0.35">
      <c r="C91" s="195"/>
      <c r="D91" s="195"/>
      <c r="E91" s="195"/>
      <c r="F91" s="195"/>
      <c r="G91" s="195"/>
      <c r="H91" s="195"/>
      <c r="I91" s="195"/>
      <c r="J91" s="196"/>
      <c r="K91" s="196"/>
      <c r="L91" s="196"/>
      <c r="M91" s="196"/>
      <c r="N91" s="196"/>
      <c r="O91" s="196"/>
      <c r="P91" s="196"/>
      <c r="Q91" s="196"/>
      <c r="R91" s="196"/>
      <c r="S91" s="196"/>
    </row>
    <row r="92" spans="1:19" s="191" customFormat="1" ht="6" customHeight="1" x14ac:dyDescent="0.25">
      <c r="A92" s="197"/>
      <c r="C92" s="198"/>
      <c r="D92" s="198"/>
      <c r="E92" s="198"/>
      <c r="F92" s="199"/>
      <c r="G92" s="199"/>
      <c r="H92" s="198"/>
      <c r="I92" s="106"/>
      <c r="K92" s="106"/>
      <c r="L92" s="106"/>
      <c r="M92" s="106"/>
      <c r="N92" s="106"/>
      <c r="O92" s="106"/>
      <c r="P92" s="106"/>
      <c r="Q92" s="106"/>
      <c r="R92" s="106"/>
      <c r="S92" s="106"/>
    </row>
    <row r="93" spans="1:19" s="191" customFormat="1" ht="25" customHeight="1" x14ac:dyDescent="0.35">
      <c r="A93" s="103"/>
      <c r="C93" s="441" t="s">
        <v>209</v>
      </c>
      <c r="D93" s="442"/>
      <c r="E93" s="442"/>
      <c r="F93" s="442"/>
      <c r="G93" s="442"/>
      <c r="H93" s="443"/>
      <c r="I93" s="106"/>
      <c r="K93" s="104"/>
      <c r="L93" s="106"/>
      <c r="M93" s="104"/>
      <c r="N93" s="104"/>
      <c r="O93" s="104"/>
      <c r="P93" s="104"/>
      <c r="Q93" s="104"/>
      <c r="R93" s="104"/>
      <c r="S93" s="104"/>
    </row>
    <row r="94" spans="1:19" s="191" customFormat="1" ht="12" customHeight="1" x14ac:dyDescent="0.25">
      <c r="C94" s="200" t="s">
        <v>25</v>
      </c>
      <c r="D94" s="200"/>
      <c r="E94" s="200" t="s">
        <v>26</v>
      </c>
      <c r="F94" s="200" t="s">
        <v>27</v>
      </c>
      <c r="G94" s="200" t="s">
        <v>28</v>
      </c>
      <c r="H94" s="200" t="s">
        <v>29</v>
      </c>
      <c r="I94" s="200"/>
      <c r="J94" s="201"/>
      <c r="K94" s="201"/>
      <c r="L94" s="201"/>
      <c r="M94" s="201"/>
      <c r="N94" s="201"/>
      <c r="O94" s="201"/>
      <c r="P94" s="201"/>
      <c r="Q94" s="201"/>
      <c r="R94" s="201"/>
      <c r="S94" s="201"/>
    </row>
    <row r="95" spans="1:19" s="191" customFormat="1" ht="25" customHeight="1" x14ac:dyDescent="0.25">
      <c r="A95" s="436" t="s">
        <v>181</v>
      </c>
      <c r="C95" s="437"/>
      <c r="D95" s="438"/>
      <c r="E95" s="404"/>
      <c r="F95" s="404"/>
      <c r="G95" s="202"/>
      <c r="H95" s="404"/>
      <c r="I95" s="106" t="s">
        <v>41</v>
      </c>
      <c r="K95" s="203" t="s">
        <v>182</v>
      </c>
      <c r="L95" s="106"/>
      <c r="M95" s="203" t="s">
        <v>183</v>
      </c>
      <c r="N95" s="106"/>
      <c r="O95" s="203" t="s">
        <v>184</v>
      </c>
      <c r="P95" s="106"/>
      <c r="Q95" s="203" t="s">
        <v>185</v>
      </c>
      <c r="R95" s="106"/>
      <c r="S95" s="203" t="s">
        <v>186</v>
      </c>
    </row>
    <row r="96" spans="1:19" s="191" customFormat="1" ht="6" customHeight="1" x14ac:dyDescent="0.25">
      <c r="A96" s="444"/>
      <c r="C96" s="204"/>
      <c r="D96" s="204"/>
      <c r="E96" s="198"/>
      <c r="F96" s="198"/>
      <c r="G96" s="198"/>
      <c r="H96" s="198"/>
      <c r="I96" s="106"/>
      <c r="K96" s="106"/>
      <c r="L96" s="106"/>
      <c r="M96" s="106"/>
      <c r="N96" s="106"/>
      <c r="O96" s="106"/>
      <c r="P96" s="106"/>
      <c r="Q96" s="106"/>
      <c r="R96" s="106"/>
      <c r="S96" s="106"/>
    </row>
    <row r="97" spans="1:22" s="191" customFormat="1" ht="25" customHeight="1" x14ac:dyDescent="0.25">
      <c r="A97" s="444"/>
      <c r="C97" s="445"/>
      <c r="D97" s="445"/>
      <c r="E97" s="404"/>
      <c r="F97" s="205"/>
      <c r="G97" s="202"/>
      <c r="H97" s="404"/>
      <c r="I97" s="106" t="s">
        <v>187</v>
      </c>
      <c r="K97" s="203" t="s">
        <v>188</v>
      </c>
      <c r="L97" s="106"/>
      <c r="M97" s="203" t="s">
        <v>189</v>
      </c>
      <c r="N97" s="106"/>
      <c r="O97" s="203" t="s">
        <v>190</v>
      </c>
      <c r="P97" s="106"/>
      <c r="Q97" s="203" t="s">
        <v>191</v>
      </c>
      <c r="R97" s="106"/>
      <c r="S97" s="203" t="s">
        <v>192</v>
      </c>
    </row>
    <row r="98" spans="1:22" s="191" customFormat="1" ht="6" customHeight="1" x14ac:dyDescent="0.25">
      <c r="A98" s="444"/>
      <c r="C98" s="204"/>
      <c r="D98" s="204"/>
      <c r="E98" s="198"/>
      <c r="F98" s="198"/>
      <c r="G98" s="198"/>
      <c r="H98" s="198"/>
      <c r="I98" s="106"/>
      <c r="K98" s="106"/>
      <c r="L98" s="106"/>
      <c r="M98" s="106"/>
      <c r="N98" s="106"/>
      <c r="O98" s="106"/>
      <c r="P98" s="106"/>
      <c r="Q98" s="106"/>
      <c r="R98" s="106"/>
      <c r="S98" s="106"/>
    </row>
    <row r="99" spans="1:22" s="191" customFormat="1" ht="25" customHeight="1" x14ac:dyDescent="0.25">
      <c r="A99" s="444"/>
      <c r="C99" s="445"/>
      <c r="D99" s="445"/>
      <c r="E99" s="404"/>
      <c r="F99" s="205"/>
      <c r="G99" s="202"/>
      <c r="H99" s="404"/>
      <c r="I99" s="106" t="s">
        <v>193</v>
      </c>
      <c r="K99" s="203" t="s">
        <v>194</v>
      </c>
      <c r="L99" s="106"/>
      <c r="M99" s="203" t="s">
        <v>195</v>
      </c>
      <c r="N99" s="106"/>
      <c r="O99" s="203" t="s">
        <v>196</v>
      </c>
      <c r="P99" s="106"/>
      <c r="Q99" s="203" t="s">
        <v>197</v>
      </c>
      <c r="R99" s="106"/>
      <c r="S99" s="203" t="s">
        <v>198</v>
      </c>
    </row>
    <row r="100" spans="1:22" s="191" customFormat="1" ht="12" customHeight="1" x14ac:dyDescent="0.25">
      <c r="C100" s="209" t="s">
        <v>25</v>
      </c>
      <c r="D100" s="209"/>
      <c r="E100" s="209" t="s">
        <v>26</v>
      </c>
      <c r="F100" s="209" t="s">
        <v>27</v>
      </c>
      <c r="G100" s="209" t="s">
        <v>28</v>
      </c>
      <c r="H100" s="209" t="s">
        <v>29</v>
      </c>
      <c r="I100" s="200"/>
      <c r="J100" s="201"/>
      <c r="K100" s="206"/>
      <c r="L100" s="206"/>
      <c r="M100" s="206"/>
      <c r="N100" s="206"/>
      <c r="O100" s="206"/>
      <c r="P100" s="206"/>
      <c r="Q100" s="206"/>
      <c r="R100" s="206"/>
      <c r="S100" s="206"/>
    </row>
    <row r="101" spans="1:22" s="191" customFormat="1" ht="25" customHeight="1" x14ac:dyDescent="0.25">
      <c r="A101" s="436" t="s">
        <v>199</v>
      </c>
      <c r="C101" s="445"/>
      <c r="D101" s="445"/>
      <c r="E101" s="404"/>
      <c r="F101" s="404"/>
      <c r="G101" s="202"/>
      <c r="H101" s="404"/>
      <c r="I101" s="106" t="s">
        <v>41</v>
      </c>
      <c r="K101" s="203" t="s">
        <v>182</v>
      </c>
      <c r="L101" s="106"/>
      <c r="M101" s="203" t="s">
        <v>183</v>
      </c>
      <c r="N101" s="106"/>
      <c r="O101" s="203" t="s">
        <v>184</v>
      </c>
      <c r="P101" s="106"/>
      <c r="Q101" s="203" t="s">
        <v>185</v>
      </c>
      <c r="R101" s="106"/>
      <c r="S101" s="203" t="s">
        <v>186</v>
      </c>
    </row>
    <row r="102" spans="1:22" s="191" customFormat="1" ht="6" customHeight="1" x14ac:dyDescent="0.25">
      <c r="A102" s="444"/>
      <c r="C102" s="204"/>
      <c r="D102" s="204"/>
      <c r="E102" s="198"/>
      <c r="F102" s="198"/>
      <c r="G102" s="198"/>
      <c r="H102" s="198"/>
      <c r="I102" s="106"/>
      <c r="K102" s="106"/>
      <c r="L102" s="106"/>
      <c r="M102" s="106"/>
      <c r="N102" s="106"/>
      <c r="O102" s="106"/>
      <c r="P102" s="106"/>
      <c r="Q102" s="106"/>
      <c r="R102" s="106"/>
      <c r="S102" s="106"/>
    </row>
    <row r="103" spans="1:22" s="191" customFormat="1" ht="25" customHeight="1" x14ac:dyDescent="0.25">
      <c r="A103" s="444"/>
      <c r="C103" s="445"/>
      <c r="D103" s="445"/>
      <c r="E103" s="404"/>
      <c r="F103" s="205"/>
      <c r="G103" s="202"/>
      <c r="H103" s="404"/>
      <c r="I103" s="106" t="s">
        <v>187</v>
      </c>
      <c r="K103" s="203" t="s">
        <v>188</v>
      </c>
      <c r="L103" s="106"/>
      <c r="M103" s="203" t="s">
        <v>189</v>
      </c>
      <c r="N103" s="106"/>
      <c r="O103" s="203" t="s">
        <v>190</v>
      </c>
      <c r="P103" s="106"/>
      <c r="Q103" s="203" t="s">
        <v>191</v>
      </c>
      <c r="R103" s="106"/>
      <c r="S103" s="203" t="s">
        <v>192</v>
      </c>
    </row>
    <row r="104" spans="1:22" s="191" customFormat="1" ht="6.75" customHeight="1" x14ac:dyDescent="0.25">
      <c r="A104" s="444"/>
      <c r="C104" s="204"/>
      <c r="D104" s="204"/>
      <c r="E104" s="198"/>
      <c r="F104" s="198"/>
      <c r="G104" s="198"/>
      <c r="H104" s="198"/>
      <c r="I104" s="106"/>
      <c r="K104" s="106"/>
      <c r="L104" s="106"/>
      <c r="M104" s="106"/>
      <c r="N104" s="106"/>
      <c r="O104" s="106"/>
      <c r="P104" s="106"/>
      <c r="Q104" s="106"/>
      <c r="R104" s="106"/>
      <c r="S104" s="106"/>
    </row>
    <row r="105" spans="1:22" s="191" customFormat="1" ht="24.75" customHeight="1" x14ac:dyDescent="0.25">
      <c r="A105" s="444"/>
      <c r="C105" s="445"/>
      <c r="D105" s="445"/>
      <c r="E105" s="404"/>
      <c r="F105" s="205"/>
      <c r="G105" s="202"/>
      <c r="H105" s="404"/>
      <c r="I105" s="106" t="s">
        <v>193</v>
      </c>
      <c r="K105" s="203" t="s">
        <v>194</v>
      </c>
      <c r="L105" s="106"/>
      <c r="M105" s="203" t="s">
        <v>195</v>
      </c>
      <c r="N105" s="106"/>
      <c r="O105" s="203" t="s">
        <v>196</v>
      </c>
      <c r="P105" s="106"/>
      <c r="Q105" s="203" t="s">
        <v>197</v>
      </c>
      <c r="R105" s="106"/>
      <c r="S105" s="203" t="s">
        <v>198</v>
      </c>
    </row>
    <row r="106" spans="1:22" s="103" customFormat="1" ht="30" customHeight="1" x14ac:dyDescent="0.35">
      <c r="A106" s="232"/>
      <c r="B106" s="232"/>
      <c r="C106" s="232"/>
      <c r="D106" s="232"/>
      <c r="E106" s="232"/>
      <c r="F106" s="232"/>
      <c r="G106" s="232"/>
      <c r="H106" s="232"/>
      <c r="I106" s="232"/>
      <c r="J106" s="233"/>
      <c r="K106" s="234"/>
      <c r="M106" s="104"/>
      <c r="O106" s="104"/>
      <c r="Q106" s="104"/>
      <c r="S106" s="104"/>
    </row>
    <row r="107" spans="1:22" s="103" customFormat="1" ht="15.75" hidden="1" customHeight="1" thickBot="1" x14ac:dyDescent="0.4">
      <c r="C107" s="105"/>
      <c r="D107" s="105"/>
      <c r="E107" s="105"/>
      <c r="F107" s="105"/>
      <c r="G107" s="105"/>
      <c r="H107" s="105"/>
      <c r="I107" s="105"/>
      <c r="K107" s="104" t="s">
        <v>210</v>
      </c>
      <c r="M107" s="104" t="s">
        <v>211</v>
      </c>
      <c r="O107" s="104" t="s">
        <v>212</v>
      </c>
      <c r="Q107" s="104" t="s">
        <v>213</v>
      </c>
      <c r="S107" s="389" t="s">
        <v>214</v>
      </c>
      <c r="U107" s="387" t="s">
        <v>215</v>
      </c>
    </row>
    <row r="108" spans="1:22" s="103" customFormat="1" ht="16" hidden="1" thickBot="1" x14ac:dyDescent="0.4">
      <c r="M108" s="104"/>
      <c r="O108" s="104"/>
      <c r="Q108" s="104"/>
      <c r="S108" s="390">
        <v>1.042</v>
      </c>
      <c r="U108" s="388">
        <v>5746</v>
      </c>
      <c r="V108" s="397" t="s">
        <v>216</v>
      </c>
    </row>
    <row r="109" spans="1:22" s="103" customFormat="1" ht="16" hidden="1" thickBot="1" x14ac:dyDescent="0.4">
      <c r="I109" s="106" t="s">
        <v>217</v>
      </c>
      <c r="J109" s="7"/>
      <c r="M109" s="104"/>
      <c r="O109" s="104"/>
      <c r="Q109" s="104"/>
      <c r="S109" s="218" t="s">
        <v>201</v>
      </c>
      <c r="U109" s="388">
        <v>7355</v>
      </c>
      <c r="V109" s="397" t="s">
        <v>218</v>
      </c>
    </row>
    <row r="110" spans="1:22" s="103" customFormat="1" ht="16" hidden="1" thickBot="1" x14ac:dyDescent="0.4">
      <c r="C110" s="102"/>
      <c r="D110" s="102"/>
      <c r="E110" s="102"/>
      <c r="F110" s="102"/>
      <c r="G110" s="102"/>
      <c r="H110" s="102"/>
      <c r="I110" s="106"/>
      <c r="J110" s="7"/>
      <c r="M110" s="104"/>
      <c r="O110" s="104"/>
      <c r="Q110" s="104"/>
      <c r="R110" s="218"/>
      <c r="S110" s="218" t="s">
        <v>176</v>
      </c>
      <c r="U110" s="388">
        <v>7355</v>
      </c>
      <c r="V110" s="397" t="s">
        <v>219</v>
      </c>
    </row>
    <row r="111" spans="1:22" s="103" customFormat="1" ht="12.75" hidden="1" customHeight="1" thickBot="1" x14ac:dyDescent="0.4">
      <c r="C111" s="105"/>
      <c r="D111" s="105"/>
      <c r="E111" s="105"/>
      <c r="F111" s="105"/>
      <c r="G111" s="105"/>
      <c r="H111" s="105"/>
      <c r="I111" s="382" t="s">
        <v>188</v>
      </c>
      <c r="J111" s="220"/>
      <c r="K111" s="221">
        <f>(0.375*U108)+V123</f>
        <v>2337.11</v>
      </c>
      <c r="L111" s="220"/>
      <c r="M111" s="221">
        <f>(0.75*U108)+V123</f>
        <v>4491.8599999999997</v>
      </c>
      <c r="N111" s="220"/>
      <c r="O111" s="221">
        <f>(0.5*U108)+V123</f>
        <v>3055.36</v>
      </c>
      <c r="P111" s="220"/>
      <c r="Q111" s="221">
        <f>U108+V123</f>
        <v>5928.36</v>
      </c>
      <c r="S111" s="104"/>
      <c r="U111" s="388">
        <v>6732</v>
      </c>
      <c r="V111" s="398" t="s">
        <v>220</v>
      </c>
    </row>
    <row r="112" spans="1:22" s="103" customFormat="1" ht="12.75" hidden="1" customHeight="1" thickBot="1" x14ac:dyDescent="0.4">
      <c r="I112" s="382" t="s">
        <v>189</v>
      </c>
      <c r="J112" s="220"/>
      <c r="K112" s="383">
        <f>K111*$S$108</f>
        <v>2435.2686200000003</v>
      </c>
      <c r="L112" s="383"/>
      <c r="M112" s="383">
        <f>M111*$S$108</f>
        <v>4680.5181199999997</v>
      </c>
      <c r="N112" s="383"/>
      <c r="O112" s="383">
        <f>O111*$S$108</f>
        <v>3183.6851200000001</v>
      </c>
      <c r="P112" s="383"/>
      <c r="Q112" s="383">
        <f>Q111*$S$108</f>
        <v>6177.3511200000003</v>
      </c>
      <c r="S112" s="104"/>
      <c r="U112" s="388">
        <v>6732</v>
      </c>
      <c r="V112" s="398" t="s">
        <v>221</v>
      </c>
    </row>
    <row r="113" spans="3:23" s="103" customFormat="1" ht="12.75" hidden="1" customHeight="1" thickBot="1" x14ac:dyDescent="0.4">
      <c r="C113" s="105"/>
      <c r="D113" s="105"/>
      <c r="E113" s="105"/>
      <c r="F113" s="105"/>
      <c r="G113" s="105"/>
      <c r="H113" s="105"/>
      <c r="I113" s="382" t="s">
        <v>190</v>
      </c>
      <c r="J113" s="220"/>
      <c r="K113" s="383">
        <f t="shared" ref="K113:K118" si="0">K112*$S$108</f>
        <v>2537.5499020400002</v>
      </c>
      <c r="L113" s="230"/>
      <c r="M113" s="383">
        <f t="shared" ref="M113:M118" si="1">M112*$S$108</f>
        <v>4877.0998810399997</v>
      </c>
      <c r="N113" s="230"/>
      <c r="O113" s="383">
        <f t="shared" ref="O113:O118" si="2">O112*$S$108</f>
        <v>3317.39989504</v>
      </c>
      <c r="P113" s="230"/>
      <c r="Q113" s="383">
        <f t="shared" ref="Q113:Q118" si="3">Q112*$S$108</f>
        <v>6436.7998670400002</v>
      </c>
      <c r="S113" s="104"/>
      <c r="U113" s="386"/>
      <c r="V113" s="385"/>
    </row>
    <row r="114" spans="3:23" s="103" customFormat="1" ht="12.75" hidden="1" customHeight="1" thickBot="1" x14ac:dyDescent="0.4">
      <c r="C114" s="105"/>
      <c r="D114" s="105"/>
      <c r="E114" s="105"/>
      <c r="F114" s="105"/>
      <c r="G114" s="105"/>
      <c r="H114" s="105"/>
      <c r="I114" s="382" t="s">
        <v>191</v>
      </c>
      <c r="J114" s="220"/>
      <c r="K114" s="383">
        <f t="shared" si="0"/>
        <v>2644.1269979256804</v>
      </c>
      <c r="L114" s="230"/>
      <c r="M114" s="383">
        <f t="shared" si="1"/>
        <v>5081.9380760436798</v>
      </c>
      <c r="N114" s="230"/>
      <c r="O114" s="383">
        <f t="shared" si="2"/>
        <v>3456.7306906316803</v>
      </c>
      <c r="P114" s="230"/>
      <c r="Q114" s="383">
        <f t="shared" si="3"/>
        <v>6707.1454614556806</v>
      </c>
      <c r="S114" s="104"/>
      <c r="U114" s="387" t="s">
        <v>222</v>
      </c>
      <c r="V114" s="385"/>
    </row>
    <row r="115" spans="3:23" s="103" customFormat="1" ht="12.75" hidden="1" customHeight="1" thickBot="1" x14ac:dyDescent="0.4">
      <c r="C115" s="105"/>
      <c r="D115" s="105"/>
      <c r="E115" s="105"/>
      <c r="F115" s="105"/>
      <c r="G115" s="105"/>
      <c r="H115" s="105"/>
      <c r="I115" s="382" t="s">
        <v>192</v>
      </c>
      <c r="J115" s="220"/>
      <c r="K115" s="383">
        <f t="shared" si="0"/>
        <v>2755.1803318385591</v>
      </c>
      <c r="L115" s="230"/>
      <c r="M115" s="383">
        <f t="shared" si="1"/>
        <v>5295.3794752375143</v>
      </c>
      <c r="N115" s="230"/>
      <c r="O115" s="383">
        <f t="shared" si="2"/>
        <v>3601.9133796382112</v>
      </c>
      <c r="P115" s="230"/>
      <c r="Q115" s="383">
        <f t="shared" si="3"/>
        <v>6988.8455708368192</v>
      </c>
      <c r="S115" s="104"/>
      <c r="U115" s="388">
        <f>3055*1.042</f>
        <v>3183.31</v>
      </c>
      <c r="V115" s="397" t="s">
        <v>216</v>
      </c>
    </row>
    <row r="116" spans="3:23" s="103" customFormat="1" ht="12.75" hidden="1" customHeight="1" thickBot="1" x14ac:dyDescent="0.4">
      <c r="C116" s="105"/>
      <c r="D116" s="105"/>
      <c r="E116" s="105"/>
      <c r="F116" s="105"/>
      <c r="G116" s="105"/>
      <c r="H116" s="105"/>
      <c r="I116" s="382" t="s">
        <v>223</v>
      </c>
      <c r="J116" s="220"/>
      <c r="K116" s="383">
        <f t="shared" si="0"/>
        <v>2870.8979057757788</v>
      </c>
      <c r="L116" s="230"/>
      <c r="M116" s="383">
        <f t="shared" si="1"/>
        <v>5517.78541319749</v>
      </c>
      <c r="N116" s="230"/>
      <c r="O116" s="383">
        <f t="shared" si="2"/>
        <v>3753.1937415830162</v>
      </c>
      <c r="P116" s="230"/>
      <c r="Q116" s="383">
        <f t="shared" si="3"/>
        <v>7282.3770848119657</v>
      </c>
      <c r="S116" s="104"/>
      <c r="U116" s="388">
        <f>3910*1.042</f>
        <v>4074.2200000000003</v>
      </c>
      <c r="V116" s="397" t="s">
        <v>218</v>
      </c>
    </row>
    <row r="117" spans="3:23" s="103" customFormat="1" ht="12.75" hidden="1" customHeight="1" thickBot="1" x14ac:dyDescent="0.4">
      <c r="C117" s="105"/>
      <c r="D117" s="105"/>
      <c r="E117" s="105"/>
      <c r="F117" s="105"/>
      <c r="G117" s="105"/>
      <c r="H117" s="105"/>
      <c r="I117" s="382" t="s">
        <v>224</v>
      </c>
      <c r="J117" s="220"/>
      <c r="K117" s="383">
        <f t="shared" si="0"/>
        <v>2991.4756178183616</v>
      </c>
      <c r="L117" s="230"/>
      <c r="M117" s="383">
        <f t="shared" si="1"/>
        <v>5749.532400551785</v>
      </c>
      <c r="N117" s="230"/>
      <c r="O117" s="383">
        <f t="shared" si="2"/>
        <v>3910.827878729503</v>
      </c>
      <c r="P117" s="230"/>
      <c r="Q117" s="383">
        <f t="shared" si="3"/>
        <v>7588.2369223740689</v>
      </c>
      <c r="S117" s="104"/>
      <c r="U117" s="388">
        <f>3910*1.042</f>
        <v>4074.2200000000003</v>
      </c>
      <c r="V117" s="397" t="s">
        <v>219</v>
      </c>
    </row>
    <row r="118" spans="3:23" s="103" customFormat="1" ht="12.75" hidden="1" customHeight="1" thickBot="1" x14ac:dyDescent="0.4">
      <c r="C118" s="105"/>
      <c r="D118" s="105"/>
      <c r="E118" s="105"/>
      <c r="F118" s="105"/>
      <c r="G118" s="105"/>
      <c r="H118" s="105"/>
      <c r="I118" s="382" t="s">
        <v>225</v>
      </c>
      <c r="J118" s="220"/>
      <c r="K118" s="383">
        <f t="shared" si="0"/>
        <v>3117.1175937667331</v>
      </c>
      <c r="L118" s="230"/>
      <c r="M118" s="383">
        <f t="shared" si="1"/>
        <v>5991.0127613749601</v>
      </c>
      <c r="N118" s="230"/>
      <c r="O118" s="383">
        <f t="shared" si="2"/>
        <v>4075.0826496361424</v>
      </c>
      <c r="P118" s="230"/>
      <c r="Q118" s="383">
        <f t="shared" si="3"/>
        <v>7906.9428731137805</v>
      </c>
      <c r="S118" s="104"/>
      <c r="U118" s="388">
        <f>3580*1.042</f>
        <v>3730.36</v>
      </c>
      <c r="V118" s="398" t="s">
        <v>220</v>
      </c>
    </row>
    <row r="119" spans="3:23" s="103" customFormat="1" ht="12.75" hidden="1" customHeight="1" thickBot="1" x14ac:dyDescent="0.4">
      <c r="C119" s="105"/>
      <c r="D119" s="105"/>
      <c r="E119" s="105"/>
      <c r="F119" s="105"/>
      <c r="G119" s="105"/>
      <c r="H119" s="105"/>
      <c r="I119" s="382"/>
      <c r="J119" s="223"/>
      <c r="K119" s="224"/>
      <c r="L119" s="220"/>
      <c r="M119" s="224"/>
      <c r="N119" s="220"/>
      <c r="O119" s="224"/>
      <c r="P119" s="220"/>
      <c r="Q119" s="224"/>
      <c r="S119" s="104"/>
      <c r="U119" s="388">
        <f>3580*1.042</f>
        <v>3730.36</v>
      </c>
      <c r="V119" s="398" t="s">
        <v>221</v>
      </c>
    </row>
    <row r="120" spans="3:23" s="103" customFormat="1" ht="12.75" hidden="1" customHeight="1" thickBot="1" x14ac:dyDescent="0.4">
      <c r="C120" s="105"/>
      <c r="D120" s="105"/>
      <c r="E120" s="105"/>
      <c r="F120" s="105"/>
      <c r="G120" s="105"/>
      <c r="H120" s="105"/>
      <c r="I120" s="382" t="s">
        <v>194</v>
      </c>
      <c r="J120" s="223"/>
      <c r="K120" s="225">
        <f>(0.375*U108)+V123</f>
        <v>2337.11</v>
      </c>
      <c r="L120" s="220"/>
      <c r="M120" s="225">
        <f>(0.75*U108)+V123</f>
        <v>4491.8599999999997</v>
      </c>
      <c r="N120" s="220"/>
      <c r="O120" s="225">
        <f>(0.5*U108)+V123</f>
        <v>3055.36</v>
      </c>
      <c r="P120" s="220"/>
      <c r="Q120" s="225">
        <f>U108+V123</f>
        <v>5928.36</v>
      </c>
      <c r="S120" s="104"/>
      <c r="U120" s="384"/>
      <c r="V120" s="385"/>
    </row>
    <row r="121" spans="3:23" s="103" customFormat="1" ht="12.75" hidden="1" customHeight="1" x14ac:dyDescent="0.35">
      <c r="I121" s="382" t="s">
        <v>195</v>
      </c>
      <c r="J121" s="220"/>
      <c r="K121" s="383">
        <f>K120*$S$108</f>
        <v>2435.2686200000003</v>
      </c>
      <c r="L121" s="383"/>
      <c r="M121" s="383">
        <f>M120*$S$108</f>
        <v>4680.5181199999997</v>
      </c>
      <c r="N121" s="383"/>
      <c r="O121" s="383">
        <f>O120*$S$108</f>
        <v>3183.6851200000001</v>
      </c>
      <c r="P121" s="383"/>
      <c r="Q121" s="383">
        <f>Q120*$S$108</f>
        <v>6177.3511200000003</v>
      </c>
      <c r="S121" s="104"/>
      <c r="U121" s="451" t="s">
        <v>226</v>
      </c>
      <c r="V121" s="452"/>
      <c r="W121" s="453"/>
    </row>
    <row r="122" spans="3:23" s="103" customFormat="1" ht="12.75" hidden="1" customHeight="1" thickBot="1" x14ac:dyDescent="0.4">
      <c r="C122" s="105"/>
      <c r="D122" s="101"/>
      <c r="E122" s="105"/>
      <c r="F122" s="105"/>
      <c r="G122" s="105"/>
      <c r="H122" s="105"/>
      <c r="I122" s="382" t="s">
        <v>196</v>
      </c>
      <c r="J122" s="220"/>
      <c r="K122" s="383">
        <f t="shared" ref="K122:K127" si="4">K121*$S$108</f>
        <v>2537.5499020400002</v>
      </c>
      <c r="L122" s="230"/>
      <c r="M122" s="383">
        <f t="shared" ref="M122:M127" si="5">M121*$S$108</f>
        <v>4877.0998810399997</v>
      </c>
      <c r="N122" s="230"/>
      <c r="O122" s="383">
        <f t="shared" ref="O122:O127" si="6">O121*$S$108</f>
        <v>3317.39989504</v>
      </c>
      <c r="P122" s="230"/>
      <c r="Q122" s="383">
        <f t="shared" ref="Q122:Q127" si="7">Q121*$S$108</f>
        <v>6436.7998670400002</v>
      </c>
      <c r="S122" s="104"/>
      <c r="U122" s="391" t="s">
        <v>227</v>
      </c>
      <c r="V122" s="392" t="s">
        <v>228</v>
      </c>
      <c r="W122" s="393" t="s">
        <v>41</v>
      </c>
    </row>
    <row r="123" spans="3:23" s="103" customFormat="1" ht="12.75" hidden="1" customHeight="1" thickBot="1" x14ac:dyDescent="0.4">
      <c r="I123" s="382" t="s">
        <v>197</v>
      </c>
      <c r="J123" s="220"/>
      <c r="K123" s="383">
        <f t="shared" si="4"/>
        <v>2644.1269979256804</v>
      </c>
      <c r="L123" s="230"/>
      <c r="M123" s="383">
        <f t="shared" si="5"/>
        <v>5081.9380760436798</v>
      </c>
      <c r="N123" s="230"/>
      <c r="O123" s="383">
        <f t="shared" si="6"/>
        <v>3456.7306906316803</v>
      </c>
      <c r="P123" s="230"/>
      <c r="Q123" s="383">
        <f t="shared" si="7"/>
        <v>6707.1454614556806</v>
      </c>
      <c r="S123" s="104"/>
      <c r="U123" s="394" t="s">
        <v>229</v>
      </c>
      <c r="V123" s="395">
        <v>182.36</v>
      </c>
      <c r="W123" s="396">
        <v>90.69</v>
      </c>
    </row>
    <row r="124" spans="3:23" s="103" customFormat="1" ht="12.75" hidden="1" customHeight="1" thickBot="1" x14ac:dyDescent="0.4">
      <c r="I124" s="382" t="s">
        <v>198</v>
      </c>
      <c r="J124" s="220"/>
      <c r="K124" s="383">
        <f t="shared" si="4"/>
        <v>2755.1803318385591</v>
      </c>
      <c r="L124" s="230"/>
      <c r="M124" s="383">
        <f t="shared" si="5"/>
        <v>5295.3794752375143</v>
      </c>
      <c r="N124" s="230"/>
      <c r="O124" s="383">
        <f t="shared" si="6"/>
        <v>3601.9133796382112</v>
      </c>
      <c r="P124" s="230"/>
      <c r="Q124" s="383">
        <f t="shared" si="7"/>
        <v>6988.8455708368192</v>
      </c>
      <c r="S124" s="104"/>
      <c r="U124" s="394" t="s">
        <v>230</v>
      </c>
      <c r="V124" s="395">
        <f>V123*$S$108</f>
        <v>190.01912000000002</v>
      </c>
      <c r="W124" s="396">
        <f>W123*$S$108</f>
        <v>94.498980000000003</v>
      </c>
    </row>
    <row r="125" spans="3:23" s="103" customFormat="1" ht="12.75" hidden="1" customHeight="1" thickBot="1" x14ac:dyDescent="0.4">
      <c r="I125" s="382" t="s">
        <v>231</v>
      </c>
      <c r="J125" s="220"/>
      <c r="K125" s="383">
        <f t="shared" si="4"/>
        <v>2870.8979057757788</v>
      </c>
      <c r="L125" s="230"/>
      <c r="M125" s="383">
        <f t="shared" si="5"/>
        <v>5517.78541319749</v>
      </c>
      <c r="N125" s="230"/>
      <c r="O125" s="383">
        <f t="shared" si="6"/>
        <v>3753.1937415830162</v>
      </c>
      <c r="P125" s="230"/>
      <c r="Q125" s="383">
        <f t="shared" si="7"/>
        <v>7282.3770848119657</v>
      </c>
      <c r="S125" s="104"/>
      <c r="U125" s="394" t="s">
        <v>232</v>
      </c>
      <c r="V125" s="395">
        <f t="shared" ref="V125:V132" si="8">V124*$S$108</f>
        <v>197.99992304000003</v>
      </c>
      <c r="W125" s="396">
        <f t="shared" ref="W125:W132" si="9">W124*$S$108</f>
        <v>98.467937160000005</v>
      </c>
    </row>
    <row r="126" spans="3:23" s="103" customFormat="1" ht="12.75" hidden="1" customHeight="1" thickBot="1" x14ac:dyDescent="0.4">
      <c r="I126" s="382" t="s">
        <v>233</v>
      </c>
      <c r="J126" s="220"/>
      <c r="K126" s="383">
        <f t="shared" si="4"/>
        <v>2991.4756178183616</v>
      </c>
      <c r="L126" s="230"/>
      <c r="M126" s="383">
        <f t="shared" si="5"/>
        <v>5749.532400551785</v>
      </c>
      <c r="N126" s="230"/>
      <c r="O126" s="383">
        <f t="shared" si="6"/>
        <v>3910.827878729503</v>
      </c>
      <c r="P126" s="230"/>
      <c r="Q126" s="383">
        <f t="shared" si="7"/>
        <v>7588.2369223740689</v>
      </c>
      <c r="S126" s="104"/>
      <c r="U126" s="394" t="s">
        <v>234</v>
      </c>
      <c r="V126" s="395">
        <f t="shared" si="8"/>
        <v>206.31591980768005</v>
      </c>
      <c r="W126" s="396">
        <f t="shared" si="9"/>
        <v>102.60359052072</v>
      </c>
    </row>
    <row r="127" spans="3:23" s="103" customFormat="1" ht="12.75" hidden="1" customHeight="1" thickBot="1" x14ac:dyDescent="0.4">
      <c r="I127" s="382" t="s">
        <v>235</v>
      </c>
      <c r="J127" s="220"/>
      <c r="K127" s="383">
        <f t="shared" si="4"/>
        <v>3117.1175937667331</v>
      </c>
      <c r="L127" s="230"/>
      <c r="M127" s="383">
        <f t="shared" si="5"/>
        <v>5991.0127613749601</v>
      </c>
      <c r="N127" s="230"/>
      <c r="O127" s="383">
        <f t="shared" si="6"/>
        <v>4075.0826496361424</v>
      </c>
      <c r="P127" s="230"/>
      <c r="Q127" s="383">
        <f t="shared" si="7"/>
        <v>7906.9428731137805</v>
      </c>
      <c r="S127" s="104"/>
      <c r="U127" s="394" t="s">
        <v>236</v>
      </c>
      <c r="V127" s="395">
        <f t="shared" si="8"/>
        <v>214.98118843960262</v>
      </c>
      <c r="W127" s="396">
        <f t="shared" si="9"/>
        <v>106.91294132259024</v>
      </c>
    </row>
    <row r="128" spans="3:23" s="103" customFormat="1" ht="12.75" hidden="1" customHeight="1" thickBot="1" x14ac:dyDescent="0.4">
      <c r="I128" s="382"/>
      <c r="J128" s="220"/>
      <c r="K128" s="224"/>
      <c r="L128" s="220"/>
      <c r="M128" s="224"/>
      <c r="N128" s="220"/>
      <c r="O128" s="224"/>
      <c r="P128" s="220"/>
      <c r="Q128" s="224"/>
      <c r="S128" s="104"/>
      <c r="U128" s="394" t="s">
        <v>237</v>
      </c>
      <c r="V128" s="395">
        <f t="shared" si="8"/>
        <v>224.01039835406593</v>
      </c>
      <c r="W128" s="396">
        <f t="shared" si="9"/>
        <v>111.40328485813903</v>
      </c>
    </row>
    <row r="129" spans="9:23" s="7" customFormat="1" ht="12.75" hidden="1" customHeight="1" thickBot="1" x14ac:dyDescent="0.4">
      <c r="I129" s="382" t="s">
        <v>182</v>
      </c>
      <c r="J129" s="220"/>
      <c r="K129" s="226">
        <f>(0.375*U115)+W123</f>
        <v>1284.4312500000001</v>
      </c>
      <c r="L129" s="220"/>
      <c r="M129" s="226">
        <f>(0.75*U115)+W123</f>
        <v>2478.1725000000001</v>
      </c>
      <c r="N129" s="220"/>
      <c r="O129" s="226">
        <f>(0.5*U115)+W123</f>
        <v>1682.345</v>
      </c>
      <c r="P129" s="227"/>
      <c r="Q129" s="226">
        <f>U115+W123</f>
        <v>3274</v>
      </c>
      <c r="U129" s="394" t="s">
        <v>238</v>
      </c>
      <c r="V129" s="395">
        <f t="shared" si="8"/>
        <v>233.41883508493672</v>
      </c>
      <c r="W129" s="396">
        <f t="shared" si="9"/>
        <v>116.08222282218088</v>
      </c>
    </row>
    <row r="130" spans="9:23" s="7" customFormat="1" ht="12.75" hidden="1" customHeight="1" thickBot="1" x14ac:dyDescent="0.4">
      <c r="I130" s="382" t="s">
        <v>183</v>
      </c>
      <c r="J130" s="220"/>
      <c r="K130" s="383">
        <f>K129*$S$108</f>
        <v>1338.3773625000001</v>
      </c>
      <c r="L130" s="230"/>
      <c r="M130" s="381">
        <f>M129*$S$108</f>
        <v>2582.2557450000004</v>
      </c>
      <c r="N130" s="230"/>
      <c r="O130" s="383">
        <f>O129*$S$108</f>
        <v>1753.0034900000001</v>
      </c>
      <c r="P130" s="231"/>
      <c r="Q130" s="383">
        <f>Q129*$S$108</f>
        <v>3411.5080000000003</v>
      </c>
      <c r="U130" s="394" t="s">
        <v>239</v>
      </c>
      <c r="V130" s="395">
        <f t="shared" si="8"/>
        <v>243.22242615850408</v>
      </c>
      <c r="W130" s="396">
        <f t="shared" si="9"/>
        <v>120.95767618071248</v>
      </c>
    </row>
    <row r="131" spans="9:23" s="7" customFormat="1" ht="12.75" hidden="1" customHeight="1" thickBot="1" x14ac:dyDescent="0.4">
      <c r="I131" s="382" t="s">
        <v>184</v>
      </c>
      <c r="J131" s="220"/>
      <c r="K131" s="383">
        <f t="shared" ref="K131:K136" si="10">K130*$S$108</f>
        <v>1394.5892117250003</v>
      </c>
      <c r="L131" s="230"/>
      <c r="M131" s="381">
        <f t="shared" ref="M131:M136" si="11">M130*$S$108</f>
        <v>2690.7104862900005</v>
      </c>
      <c r="N131" s="230"/>
      <c r="O131" s="383">
        <f t="shared" ref="O131:O136" si="12">O130*$S$108</f>
        <v>1826.6296365800001</v>
      </c>
      <c r="P131" s="231"/>
      <c r="Q131" s="383">
        <f t="shared" ref="Q131:Q136" si="13">Q130*$S$108</f>
        <v>3554.7913360000002</v>
      </c>
      <c r="U131" s="394" t="s">
        <v>240</v>
      </c>
      <c r="V131" s="395">
        <f t="shared" si="8"/>
        <v>253.43776805716126</v>
      </c>
      <c r="W131" s="396">
        <f t="shared" si="9"/>
        <v>126.03789858030241</v>
      </c>
    </row>
    <row r="132" spans="9:23" s="7" customFormat="1" ht="12.75" hidden="1" customHeight="1" thickBot="1" x14ac:dyDescent="0.4">
      <c r="I132" s="382" t="s">
        <v>185</v>
      </c>
      <c r="J132" s="220"/>
      <c r="K132" s="383">
        <f t="shared" si="10"/>
        <v>1453.1619586174504</v>
      </c>
      <c r="L132" s="230"/>
      <c r="M132" s="381">
        <f t="shared" si="11"/>
        <v>2803.7203267141808</v>
      </c>
      <c r="N132" s="230"/>
      <c r="O132" s="383">
        <f t="shared" si="12"/>
        <v>1903.3480813163601</v>
      </c>
      <c r="P132" s="231"/>
      <c r="Q132" s="383">
        <f t="shared" si="13"/>
        <v>3704.0925721120002</v>
      </c>
      <c r="U132" s="394" t="s">
        <v>241</v>
      </c>
      <c r="V132" s="395">
        <f t="shared" si="8"/>
        <v>264.08215431556204</v>
      </c>
      <c r="W132" s="396">
        <f t="shared" si="9"/>
        <v>131.33149032067513</v>
      </c>
    </row>
    <row r="133" spans="9:23" s="7" customFormat="1" ht="12.75" hidden="1" customHeight="1" x14ac:dyDescent="0.35">
      <c r="I133" s="382" t="s">
        <v>186</v>
      </c>
      <c r="J133" s="220"/>
      <c r="K133" s="383">
        <f t="shared" si="10"/>
        <v>1514.1947608793835</v>
      </c>
      <c r="L133" s="230"/>
      <c r="M133" s="381">
        <f t="shared" si="11"/>
        <v>2921.4765804361764</v>
      </c>
      <c r="N133" s="230"/>
      <c r="O133" s="383">
        <f t="shared" si="12"/>
        <v>1983.2887007316474</v>
      </c>
      <c r="P133" s="231"/>
      <c r="Q133" s="383">
        <f t="shared" si="13"/>
        <v>3859.6644601407043</v>
      </c>
    </row>
    <row r="134" spans="9:23" s="7" customFormat="1" ht="12.75" hidden="1" customHeight="1" x14ac:dyDescent="0.35">
      <c r="I134" s="382" t="s">
        <v>242</v>
      </c>
      <c r="J134" s="220"/>
      <c r="K134" s="383">
        <f t="shared" si="10"/>
        <v>1577.7909408363175</v>
      </c>
      <c r="L134" s="230"/>
      <c r="M134" s="381">
        <f t="shared" si="11"/>
        <v>3044.1785968144959</v>
      </c>
      <c r="N134" s="230"/>
      <c r="O134" s="383">
        <f t="shared" si="12"/>
        <v>2066.5868261623768</v>
      </c>
      <c r="P134" s="231"/>
      <c r="Q134" s="383">
        <f t="shared" si="13"/>
        <v>4021.7703674666141</v>
      </c>
    </row>
    <row r="135" spans="9:23" s="7" customFormat="1" ht="12.75" hidden="1" customHeight="1" x14ac:dyDescent="0.35">
      <c r="I135" s="382" t="s">
        <v>243</v>
      </c>
      <c r="J135" s="220"/>
      <c r="K135" s="383">
        <f t="shared" si="10"/>
        <v>1644.0581603514429</v>
      </c>
      <c r="L135" s="230"/>
      <c r="M135" s="381">
        <f t="shared" si="11"/>
        <v>3172.0340978807048</v>
      </c>
      <c r="N135" s="230"/>
      <c r="O135" s="383">
        <f t="shared" si="12"/>
        <v>2153.3834728611969</v>
      </c>
      <c r="P135" s="231"/>
      <c r="Q135" s="383">
        <f t="shared" si="13"/>
        <v>4190.6847229002124</v>
      </c>
    </row>
    <row r="136" spans="9:23" s="7" customFormat="1" ht="12.75" hidden="1" customHeight="1" x14ac:dyDescent="0.35">
      <c r="I136" s="382" t="s">
        <v>244</v>
      </c>
      <c r="J136" s="220"/>
      <c r="K136" s="383">
        <f t="shared" si="10"/>
        <v>1713.1086030862036</v>
      </c>
      <c r="L136" s="230"/>
      <c r="M136" s="381">
        <f t="shared" si="11"/>
        <v>3305.2595299916948</v>
      </c>
      <c r="N136" s="230"/>
      <c r="O136" s="383">
        <f t="shared" si="12"/>
        <v>2243.825578721367</v>
      </c>
      <c r="P136" s="231"/>
      <c r="Q136" s="383">
        <f t="shared" si="13"/>
        <v>4366.6934812620211</v>
      </c>
    </row>
    <row r="137" spans="9:23" s="7" customFormat="1" ht="12.75" hidden="1" customHeight="1" x14ac:dyDescent="0.35">
      <c r="I137" s="220"/>
      <c r="J137" s="220"/>
      <c r="K137" s="224"/>
      <c r="L137" s="220"/>
      <c r="M137" s="224"/>
      <c r="N137" s="220"/>
      <c r="O137" s="224"/>
      <c r="P137" s="220"/>
      <c r="Q137" s="224"/>
    </row>
    <row r="138" spans="9:23" s="7" customFormat="1" ht="12.75" hidden="1" customHeight="1" x14ac:dyDescent="0.35">
      <c r="I138" s="228" t="s">
        <v>245</v>
      </c>
      <c r="J138" s="228"/>
      <c r="K138" s="228"/>
      <c r="L138" s="228"/>
      <c r="M138" s="228"/>
      <c r="N138" s="228"/>
      <c r="O138" s="228"/>
      <c r="P138" s="228"/>
      <c r="Q138" s="228"/>
    </row>
    <row r="139" spans="9:23" s="7" customFormat="1" ht="12.75" hidden="1" customHeight="1" x14ac:dyDescent="0.35">
      <c r="I139" s="223"/>
      <c r="J139" s="220"/>
      <c r="K139" s="224" t="s">
        <v>246</v>
      </c>
      <c r="L139" s="220"/>
      <c r="M139" s="224" t="s">
        <v>247</v>
      </c>
      <c r="N139" s="220"/>
      <c r="O139" s="224" t="s">
        <v>248</v>
      </c>
      <c r="P139" s="220"/>
      <c r="Q139" s="224" t="s">
        <v>249</v>
      </c>
    </row>
    <row r="140" spans="9:23" s="7" customFormat="1" ht="12.75" hidden="1" customHeight="1" x14ac:dyDescent="0.35">
      <c r="I140" s="219"/>
      <c r="J140" s="220"/>
      <c r="K140" s="223"/>
      <c r="L140" s="223"/>
      <c r="M140" s="224"/>
      <c r="N140" s="220"/>
      <c r="O140" s="224"/>
      <c r="P140" s="220"/>
      <c r="Q140" s="224"/>
    </row>
    <row r="141" spans="9:23" s="7" customFormat="1" ht="12.75" hidden="1" customHeight="1" x14ac:dyDescent="0.35">
      <c r="I141" s="382" t="s">
        <v>188</v>
      </c>
      <c r="J141" s="223"/>
      <c r="K141" s="221">
        <f>(0.375*U110)+V123</f>
        <v>2940.4850000000001</v>
      </c>
      <c r="L141" s="220"/>
      <c r="M141" s="221">
        <f>(0.75*U110)+V123</f>
        <v>5698.61</v>
      </c>
      <c r="N141" s="220"/>
      <c r="O141" s="221">
        <f>(0.5*U110)+V123</f>
        <v>3859.86</v>
      </c>
      <c r="P141" s="220"/>
      <c r="Q141" s="221">
        <f>U110+V123</f>
        <v>7537.36</v>
      </c>
    </row>
    <row r="142" spans="9:23" s="7" customFormat="1" ht="12.75" hidden="1" customHeight="1" x14ac:dyDescent="0.35">
      <c r="I142" s="382" t="s">
        <v>189</v>
      </c>
      <c r="J142" s="223"/>
      <c r="K142" s="383">
        <f>K141*$S$108</f>
        <v>3063.9853700000003</v>
      </c>
      <c r="L142" s="230"/>
      <c r="M142" s="383">
        <f>M141*$S$108</f>
        <v>5937.9516199999998</v>
      </c>
      <c r="N142" s="230"/>
      <c r="O142" s="383">
        <f>O141*$S$108</f>
        <v>4021.9741200000003</v>
      </c>
      <c r="P142" s="230"/>
      <c r="Q142" s="383">
        <f>Q141*$S$108</f>
        <v>7853.9291199999998</v>
      </c>
    </row>
    <row r="143" spans="9:23" s="7" customFormat="1" ht="15.5" hidden="1" x14ac:dyDescent="0.35">
      <c r="I143" s="382" t="s">
        <v>190</v>
      </c>
      <c r="J143" s="223"/>
      <c r="K143" s="383">
        <f t="shared" ref="K143:K148" si="14">K142*$S$108</f>
        <v>3192.6727555400003</v>
      </c>
      <c r="L143" s="230"/>
      <c r="M143" s="383">
        <f t="shared" ref="M143:M148" si="15">M142*$S$108</f>
        <v>6187.3455880399997</v>
      </c>
      <c r="N143" s="230"/>
      <c r="O143" s="383">
        <f t="shared" ref="O143:O148" si="16">O142*$S$108</f>
        <v>4190.8970330400007</v>
      </c>
      <c r="P143" s="230"/>
      <c r="Q143" s="383">
        <f t="shared" ref="Q143:Q148" si="17">Q142*$S$108</f>
        <v>8183.7941430399997</v>
      </c>
    </row>
    <row r="144" spans="9:23" s="7" customFormat="1" ht="15.5" hidden="1" x14ac:dyDescent="0.35">
      <c r="I144" s="382" t="s">
        <v>191</v>
      </c>
      <c r="J144" s="223"/>
      <c r="K144" s="383">
        <f t="shared" si="14"/>
        <v>3326.7650112726806</v>
      </c>
      <c r="L144" s="230"/>
      <c r="M144" s="383">
        <f t="shared" si="15"/>
        <v>6447.2141027376802</v>
      </c>
      <c r="N144" s="230"/>
      <c r="O144" s="383">
        <f t="shared" si="16"/>
        <v>4366.914708427681</v>
      </c>
      <c r="P144" s="230"/>
      <c r="Q144" s="383">
        <f t="shared" si="17"/>
        <v>8527.5134970476793</v>
      </c>
    </row>
    <row r="145" spans="9:17" s="7" customFormat="1" ht="15.5" hidden="1" x14ac:dyDescent="0.35">
      <c r="I145" s="382" t="s">
        <v>192</v>
      </c>
      <c r="J145" s="223"/>
      <c r="K145" s="383">
        <f t="shared" si="14"/>
        <v>3466.4891417461331</v>
      </c>
      <c r="L145" s="230"/>
      <c r="M145" s="383">
        <f t="shared" si="15"/>
        <v>6717.9970950526631</v>
      </c>
      <c r="N145" s="230"/>
      <c r="O145" s="383">
        <f t="shared" si="16"/>
        <v>4550.325126181644</v>
      </c>
      <c r="P145" s="230"/>
      <c r="Q145" s="383">
        <f t="shared" si="17"/>
        <v>8885.6690639236822</v>
      </c>
    </row>
    <row r="146" spans="9:17" s="7" customFormat="1" ht="15.5" hidden="1" x14ac:dyDescent="0.35">
      <c r="I146" s="382" t="s">
        <v>223</v>
      </c>
      <c r="J146" s="223"/>
      <c r="K146" s="383">
        <f t="shared" si="14"/>
        <v>3612.0816856994707</v>
      </c>
      <c r="L146" s="230"/>
      <c r="M146" s="383">
        <f t="shared" si="15"/>
        <v>7000.1529730448756</v>
      </c>
      <c r="N146" s="230"/>
      <c r="O146" s="383">
        <f t="shared" si="16"/>
        <v>4741.4387814812735</v>
      </c>
      <c r="P146" s="230"/>
      <c r="Q146" s="383">
        <f t="shared" si="17"/>
        <v>9258.8671646084767</v>
      </c>
    </row>
    <row r="147" spans="9:17" s="7" customFormat="1" ht="15.5" hidden="1" x14ac:dyDescent="0.35">
      <c r="I147" s="382" t="s">
        <v>224</v>
      </c>
      <c r="J147" s="223"/>
      <c r="K147" s="383">
        <f t="shared" si="14"/>
        <v>3763.7891164988487</v>
      </c>
      <c r="L147" s="230"/>
      <c r="M147" s="383">
        <f t="shared" si="15"/>
        <v>7294.1593979127611</v>
      </c>
      <c r="N147" s="230"/>
      <c r="O147" s="383">
        <f t="shared" si="16"/>
        <v>4940.5792103034873</v>
      </c>
      <c r="P147" s="230"/>
      <c r="Q147" s="383">
        <f t="shared" si="17"/>
        <v>9647.7395855220329</v>
      </c>
    </row>
    <row r="148" spans="9:17" s="7" customFormat="1" ht="15.5" hidden="1" x14ac:dyDescent="0.35">
      <c r="I148" s="382" t="s">
        <v>225</v>
      </c>
      <c r="J148" s="223"/>
      <c r="K148" s="383">
        <f t="shared" si="14"/>
        <v>3921.8682593918006</v>
      </c>
      <c r="L148" s="230"/>
      <c r="M148" s="383">
        <f t="shared" si="15"/>
        <v>7600.514092625097</v>
      </c>
      <c r="N148" s="230"/>
      <c r="O148" s="383">
        <f t="shared" si="16"/>
        <v>5148.0835371362336</v>
      </c>
      <c r="P148" s="230"/>
      <c r="Q148" s="383">
        <f t="shared" si="17"/>
        <v>10052.944648113958</v>
      </c>
    </row>
    <row r="149" spans="9:17" s="7" customFormat="1" ht="15.5" hidden="1" x14ac:dyDescent="0.35">
      <c r="I149" s="219"/>
      <c r="J149" s="223"/>
      <c r="K149" s="222">
        <v>0</v>
      </c>
      <c r="L149" s="223"/>
      <c r="M149" s="224"/>
      <c r="N149" s="220"/>
      <c r="O149" s="222">
        <v>0</v>
      </c>
      <c r="P149" s="220"/>
      <c r="Q149" s="224"/>
    </row>
    <row r="150" spans="9:17" s="7" customFormat="1" ht="15.5" hidden="1" x14ac:dyDescent="0.35">
      <c r="I150" s="382" t="s">
        <v>194</v>
      </c>
      <c r="J150" s="223"/>
      <c r="K150" s="225">
        <f>(0.375*U110)+V123</f>
        <v>2940.4850000000001</v>
      </c>
      <c r="L150" s="220"/>
      <c r="M150" s="225">
        <f>(0.75*U110)+V123</f>
        <v>5698.61</v>
      </c>
      <c r="N150" s="220"/>
      <c r="O150" s="225">
        <f>(0.5*U110)+V123</f>
        <v>3859.86</v>
      </c>
      <c r="P150" s="220"/>
      <c r="Q150" s="225">
        <f>U110+V123</f>
        <v>7537.36</v>
      </c>
    </row>
    <row r="151" spans="9:17" s="7" customFormat="1" ht="15.5" hidden="1" x14ac:dyDescent="0.35">
      <c r="I151" s="382" t="s">
        <v>195</v>
      </c>
      <c r="J151" s="223"/>
      <c r="K151" s="383">
        <f>K150*$S$108</f>
        <v>3063.9853700000003</v>
      </c>
      <c r="L151" s="230"/>
      <c r="M151" s="383">
        <f>M150*$S$108</f>
        <v>5937.9516199999998</v>
      </c>
      <c r="N151" s="230"/>
      <c r="O151" s="383">
        <f>O150*$S$108</f>
        <v>4021.9741200000003</v>
      </c>
      <c r="P151" s="230"/>
      <c r="Q151" s="383">
        <f>Q150*$S$108</f>
        <v>7853.9291199999998</v>
      </c>
    </row>
    <row r="152" spans="9:17" s="7" customFormat="1" ht="15.5" hidden="1" x14ac:dyDescent="0.35">
      <c r="I152" s="382" t="s">
        <v>196</v>
      </c>
      <c r="J152" s="223"/>
      <c r="K152" s="383">
        <f t="shared" ref="K152:K157" si="18">K151*$S$108</f>
        <v>3192.6727555400003</v>
      </c>
      <c r="L152" s="230"/>
      <c r="M152" s="383">
        <f>M151*$S$108</f>
        <v>6187.3455880399997</v>
      </c>
      <c r="N152" s="230"/>
      <c r="O152" s="383">
        <f t="shared" ref="O152:O157" si="19">O151*$S$108</f>
        <v>4190.8970330400007</v>
      </c>
      <c r="P152" s="230"/>
      <c r="Q152" s="383">
        <f t="shared" ref="Q152:Q157" si="20">Q151*$S$108</f>
        <v>8183.7941430399997</v>
      </c>
    </row>
    <row r="153" spans="9:17" s="7" customFormat="1" ht="15.5" hidden="1" x14ac:dyDescent="0.35">
      <c r="I153" s="382" t="s">
        <v>197</v>
      </c>
      <c r="J153" s="223"/>
      <c r="K153" s="383">
        <f t="shared" si="18"/>
        <v>3326.7650112726806</v>
      </c>
      <c r="L153" s="230"/>
      <c r="M153" s="383">
        <f t="shared" ref="M153:M157" si="21">M152*$S$108</f>
        <v>6447.2141027376802</v>
      </c>
      <c r="N153" s="230"/>
      <c r="O153" s="383">
        <f t="shared" si="19"/>
        <v>4366.914708427681</v>
      </c>
      <c r="P153" s="230"/>
      <c r="Q153" s="383">
        <f t="shared" si="20"/>
        <v>8527.5134970476793</v>
      </c>
    </row>
    <row r="154" spans="9:17" s="7" customFormat="1" ht="15.5" hidden="1" x14ac:dyDescent="0.35">
      <c r="I154" s="382" t="s">
        <v>198</v>
      </c>
      <c r="J154" s="223"/>
      <c r="K154" s="383">
        <f t="shared" si="18"/>
        <v>3466.4891417461331</v>
      </c>
      <c r="L154" s="230"/>
      <c r="M154" s="383">
        <f t="shared" si="21"/>
        <v>6717.9970950526631</v>
      </c>
      <c r="N154" s="230"/>
      <c r="O154" s="383">
        <f t="shared" si="19"/>
        <v>4550.325126181644</v>
      </c>
      <c r="P154" s="230"/>
      <c r="Q154" s="383">
        <f t="shared" si="20"/>
        <v>8885.6690639236822</v>
      </c>
    </row>
    <row r="155" spans="9:17" s="7" customFormat="1" ht="15.5" hidden="1" x14ac:dyDescent="0.35">
      <c r="I155" s="382" t="s">
        <v>231</v>
      </c>
      <c r="J155" s="223"/>
      <c r="K155" s="383">
        <f t="shared" si="18"/>
        <v>3612.0816856994707</v>
      </c>
      <c r="L155" s="230"/>
      <c r="M155" s="383">
        <f t="shared" si="21"/>
        <v>7000.1529730448756</v>
      </c>
      <c r="N155" s="230"/>
      <c r="O155" s="383">
        <f t="shared" si="19"/>
        <v>4741.4387814812735</v>
      </c>
      <c r="P155" s="230"/>
      <c r="Q155" s="383">
        <f t="shared" si="20"/>
        <v>9258.8671646084767</v>
      </c>
    </row>
    <row r="156" spans="9:17" s="7" customFormat="1" ht="15.5" hidden="1" x14ac:dyDescent="0.35">
      <c r="I156" s="382" t="s">
        <v>233</v>
      </c>
      <c r="J156" s="223"/>
      <c r="K156" s="383">
        <f t="shared" si="18"/>
        <v>3763.7891164988487</v>
      </c>
      <c r="L156" s="230"/>
      <c r="M156" s="383">
        <f t="shared" si="21"/>
        <v>7294.1593979127611</v>
      </c>
      <c r="N156" s="230"/>
      <c r="O156" s="383">
        <f t="shared" si="19"/>
        <v>4940.5792103034873</v>
      </c>
      <c r="P156" s="230"/>
      <c r="Q156" s="383">
        <f t="shared" si="20"/>
        <v>9647.7395855220329</v>
      </c>
    </row>
    <row r="157" spans="9:17" s="7" customFormat="1" ht="15.5" hidden="1" x14ac:dyDescent="0.35">
      <c r="I157" s="382" t="s">
        <v>235</v>
      </c>
      <c r="J157" s="223"/>
      <c r="K157" s="383">
        <f t="shared" si="18"/>
        <v>3921.8682593918006</v>
      </c>
      <c r="L157" s="230"/>
      <c r="M157" s="383">
        <f t="shared" si="21"/>
        <v>7600.514092625097</v>
      </c>
      <c r="N157" s="230"/>
      <c r="O157" s="383">
        <f t="shared" si="19"/>
        <v>5148.0835371362336</v>
      </c>
      <c r="P157" s="230"/>
      <c r="Q157" s="383">
        <f t="shared" si="20"/>
        <v>10052.944648113958</v>
      </c>
    </row>
    <row r="158" spans="9:17" s="7" customFormat="1" ht="15.5" hidden="1" x14ac:dyDescent="0.35">
      <c r="I158" s="219"/>
      <c r="J158" s="223"/>
      <c r="K158" s="222">
        <v>0</v>
      </c>
      <c r="L158" s="223"/>
      <c r="M158" s="224"/>
      <c r="N158" s="220"/>
      <c r="O158" s="222">
        <v>0</v>
      </c>
      <c r="P158" s="220"/>
      <c r="Q158" s="224"/>
    </row>
    <row r="159" spans="9:17" s="7" customFormat="1" ht="15.5" hidden="1" x14ac:dyDescent="0.35">
      <c r="I159" s="382" t="s">
        <v>182</v>
      </c>
      <c r="J159" s="223"/>
      <c r="K159" s="226">
        <f>(0.375*U117)+W123</f>
        <v>1618.5225</v>
      </c>
      <c r="L159" s="220"/>
      <c r="M159" s="226">
        <f>(0.75*U117)+W123</f>
        <v>3146.355</v>
      </c>
      <c r="N159" s="220"/>
      <c r="O159" s="226">
        <f>(0.5*U117)+W123</f>
        <v>2127.8000000000002</v>
      </c>
      <c r="P159" s="227"/>
      <c r="Q159" s="226">
        <f>U117+W123</f>
        <v>4164.91</v>
      </c>
    </row>
    <row r="160" spans="9:17" s="7" customFormat="1" ht="15.5" hidden="1" x14ac:dyDescent="0.35">
      <c r="I160" s="382" t="s">
        <v>183</v>
      </c>
      <c r="J160" s="223"/>
      <c r="K160" s="383">
        <f>K159*$S$108</f>
        <v>1686.5004450000001</v>
      </c>
      <c r="L160" s="230"/>
      <c r="M160" s="383">
        <f>M159*$S$108</f>
        <v>3278.50191</v>
      </c>
      <c r="N160" s="230"/>
      <c r="O160" s="383">
        <f>O159*$S$108</f>
        <v>2217.1676000000002</v>
      </c>
      <c r="P160" s="231"/>
      <c r="Q160" s="383">
        <f>Q159*$S$108</f>
        <v>4339.8362200000001</v>
      </c>
    </row>
    <row r="161" spans="9:17" s="7" customFormat="1" ht="12.75" hidden="1" customHeight="1" x14ac:dyDescent="0.35">
      <c r="I161" s="382" t="s">
        <v>184</v>
      </c>
      <c r="J161" s="223"/>
      <c r="K161" s="383">
        <f t="shared" ref="K161:K166" si="22">K160*$S$108</f>
        <v>1757.3334636900001</v>
      </c>
      <c r="L161" s="230"/>
      <c r="M161" s="383">
        <f t="shared" ref="M161:M166" si="23">M160*$S$108</f>
        <v>3416.1989902200003</v>
      </c>
      <c r="N161" s="230"/>
      <c r="O161" s="383">
        <f t="shared" ref="O161:O166" si="24">O160*$S$108</f>
        <v>2310.2886392000005</v>
      </c>
      <c r="P161" s="231"/>
      <c r="Q161" s="383">
        <f t="shared" ref="Q161:Q166" si="25">Q160*$S$108</f>
        <v>4522.1093412400005</v>
      </c>
    </row>
    <row r="162" spans="9:17" s="7" customFormat="1" ht="12.75" hidden="1" customHeight="1" x14ac:dyDescent="0.35">
      <c r="I162" s="382" t="s">
        <v>185</v>
      </c>
      <c r="J162" s="223"/>
      <c r="K162" s="383">
        <f t="shared" si="22"/>
        <v>1831.1414691649802</v>
      </c>
      <c r="L162" s="230"/>
      <c r="M162" s="383">
        <f t="shared" si="23"/>
        <v>3559.6793478092404</v>
      </c>
      <c r="N162" s="230"/>
      <c r="O162" s="383">
        <f t="shared" si="24"/>
        <v>2407.3207620464004</v>
      </c>
      <c r="P162" s="231"/>
      <c r="Q162" s="383">
        <f t="shared" si="25"/>
        <v>4712.0379335720809</v>
      </c>
    </row>
    <row r="163" spans="9:17" s="7" customFormat="1" ht="12.75" hidden="1" customHeight="1" x14ac:dyDescent="0.35">
      <c r="I163" s="382" t="s">
        <v>186</v>
      </c>
      <c r="J163" s="223"/>
      <c r="K163" s="383">
        <f t="shared" si="22"/>
        <v>1908.0494108699095</v>
      </c>
      <c r="L163" s="230"/>
      <c r="M163" s="383">
        <f t="shared" si="23"/>
        <v>3709.1858804172289</v>
      </c>
      <c r="N163" s="230"/>
      <c r="O163" s="383">
        <f t="shared" si="24"/>
        <v>2508.4282340523491</v>
      </c>
      <c r="P163" s="231"/>
      <c r="Q163" s="383">
        <f t="shared" si="25"/>
        <v>4909.9435267821082</v>
      </c>
    </row>
    <row r="164" spans="9:17" s="7" customFormat="1" ht="12.75" hidden="1" customHeight="1" x14ac:dyDescent="0.35">
      <c r="I164" s="382" t="s">
        <v>242</v>
      </c>
      <c r="J164" s="223"/>
      <c r="K164" s="383">
        <f t="shared" si="22"/>
        <v>1988.1874861264457</v>
      </c>
      <c r="L164" s="230"/>
      <c r="M164" s="383">
        <f t="shared" si="23"/>
        <v>3864.9716873947527</v>
      </c>
      <c r="N164" s="230"/>
      <c r="O164" s="383">
        <f t="shared" si="24"/>
        <v>2613.7822198825479</v>
      </c>
      <c r="P164" s="231"/>
      <c r="Q164" s="383">
        <f t="shared" si="25"/>
        <v>5116.1611549069567</v>
      </c>
    </row>
    <row r="165" spans="9:17" s="7" customFormat="1" ht="12.75" hidden="1" customHeight="1" x14ac:dyDescent="0.35">
      <c r="I165" s="382" t="s">
        <v>243</v>
      </c>
      <c r="J165" s="223"/>
      <c r="K165" s="383">
        <f t="shared" si="22"/>
        <v>2071.6913605437567</v>
      </c>
      <c r="L165" s="230"/>
      <c r="M165" s="383">
        <f t="shared" si="23"/>
        <v>4027.3004982653324</v>
      </c>
      <c r="N165" s="230"/>
      <c r="O165" s="383">
        <f t="shared" si="24"/>
        <v>2723.5610731176148</v>
      </c>
      <c r="P165" s="231"/>
      <c r="Q165" s="383">
        <f t="shared" si="25"/>
        <v>5331.0399234130491</v>
      </c>
    </row>
    <row r="166" spans="9:17" s="7" customFormat="1" ht="12.75" hidden="1" customHeight="1" x14ac:dyDescent="0.35">
      <c r="I166" s="382" t="s">
        <v>244</v>
      </c>
      <c r="J166" s="223"/>
      <c r="K166" s="383">
        <f t="shared" si="22"/>
        <v>2158.7023976865944</v>
      </c>
      <c r="L166" s="230"/>
      <c r="M166" s="383">
        <f t="shared" si="23"/>
        <v>4196.4471191924767</v>
      </c>
      <c r="N166" s="230"/>
      <c r="O166" s="383">
        <f t="shared" si="24"/>
        <v>2837.9506381885549</v>
      </c>
      <c r="P166" s="231"/>
      <c r="Q166" s="383">
        <f t="shared" si="25"/>
        <v>5554.9436001963977</v>
      </c>
    </row>
    <row r="167" spans="9:17" s="7" customFormat="1" ht="12.75" hidden="1" customHeight="1" x14ac:dyDescent="0.25"/>
    <row r="168" spans="9:17" s="7" customFormat="1" ht="15.5" hidden="1" x14ac:dyDescent="0.35">
      <c r="I168" s="228" t="s">
        <v>250</v>
      </c>
      <c r="J168" s="228"/>
      <c r="K168" s="228"/>
      <c r="L168" s="228"/>
      <c r="M168" s="228"/>
      <c r="N168" s="228"/>
      <c r="O168" s="228"/>
      <c r="P168" s="228"/>
      <c r="Q168" s="228"/>
    </row>
    <row r="169" spans="9:17" s="7" customFormat="1" ht="15.5" hidden="1" x14ac:dyDescent="0.35">
      <c r="I169" s="223"/>
      <c r="J169" s="220"/>
      <c r="K169" s="224" t="s">
        <v>246</v>
      </c>
      <c r="L169" s="220"/>
      <c r="M169" s="224" t="s">
        <v>247</v>
      </c>
      <c r="N169" s="220"/>
      <c r="O169" s="224" t="s">
        <v>248</v>
      </c>
      <c r="P169" s="220"/>
      <c r="Q169" s="224" t="s">
        <v>249</v>
      </c>
    </row>
    <row r="170" spans="9:17" s="7" customFormat="1" ht="15.5" hidden="1" x14ac:dyDescent="0.35">
      <c r="I170" s="219"/>
      <c r="J170" s="220"/>
      <c r="K170" s="223"/>
      <c r="L170" s="223"/>
      <c r="M170" s="224"/>
      <c r="N170" s="220"/>
      <c r="O170" s="224"/>
      <c r="P170" s="220"/>
      <c r="Q170" s="224"/>
    </row>
    <row r="171" spans="9:17" s="7" customFormat="1" ht="15.5" hidden="1" x14ac:dyDescent="0.35">
      <c r="I171" s="382" t="s">
        <v>188</v>
      </c>
      <c r="J171" s="223"/>
      <c r="K171" s="221">
        <f>(0.375*U109)+V123</f>
        <v>2940.4850000000001</v>
      </c>
      <c r="L171" s="220"/>
      <c r="M171" s="221">
        <f>(0.75*U109)+V123</f>
        <v>5698.61</v>
      </c>
      <c r="N171" s="220"/>
      <c r="O171" s="221">
        <f>(0.5*U109)+V123</f>
        <v>3859.86</v>
      </c>
      <c r="P171" s="220"/>
      <c r="Q171" s="221">
        <f>U109+V123</f>
        <v>7537.36</v>
      </c>
    </row>
    <row r="172" spans="9:17" s="7" customFormat="1" ht="15.5" hidden="1" x14ac:dyDescent="0.35">
      <c r="I172" s="382" t="s">
        <v>189</v>
      </c>
      <c r="J172" s="223"/>
      <c r="K172" s="383">
        <f>K171*$S$108</f>
        <v>3063.9853700000003</v>
      </c>
      <c r="L172" s="230"/>
      <c r="M172" s="383">
        <f>M171*$S$108</f>
        <v>5937.9516199999998</v>
      </c>
      <c r="N172" s="230"/>
      <c r="O172" s="383">
        <f>O171*$S$108</f>
        <v>4021.9741200000003</v>
      </c>
      <c r="P172" s="230"/>
      <c r="Q172" s="383">
        <f>Q171*$S$108</f>
        <v>7853.9291199999998</v>
      </c>
    </row>
    <row r="173" spans="9:17" s="7" customFormat="1" ht="15.5" hidden="1" x14ac:dyDescent="0.35">
      <c r="I173" s="382" t="s">
        <v>190</v>
      </c>
      <c r="J173" s="223"/>
      <c r="K173" s="383">
        <f t="shared" ref="K173:K178" si="26">K172*$S$108</f>
        <v>3192.6727555400003</v>
      </c>
      <c r="L173" s="230"/>
      <c r="M173" s="383">
        <f t="shared" ref="M173:M178" si="27">M172*$S$108</f>
        <v>6187.3455880399997</v>
      </c>
      <c r="N173" s="230"/>
      <c r="O173" s="383">
        <f t="shared" ref="O173:O178" si="28">O172*$S$108</f>
        <v>4190.8970330400007</v>
      </c>
      <c r="P173" s="230"/>
      <c r="Q173" s="383">
        <f t="shared" ref="Q173:Q178" si="29">Q172*$S$108</f>
        <v>8183.7941430399997</v>
      </c>
    </row>
    <row r="174" spans="9:17" s="7" customFormat="1" ht="15.5" hidden="1" x14ac:dyDescent="0.35">
      <c r="I174" s="382" t="s">
        <v>191</v>
      </c>
      <c r="J174" s="223"/>
      <c r="K174" s="383">
        <f t="shared" si="26"/>
        <v>3326.7650112726806</v>
      </c>
      <c r="L174" s="230"/>
      <c r="M174" s="383">
        <f t="shared" si="27"/>
        <v>6447.2141027376802</v>
      </c>
      <c r="N174" s="230"/>
      <c r="O174" s="383">
        <f t="shared" si="28"/>
        <v>4366.914708427681</v>
      </c>
      <c r="P174" s="230"/>
      <c r="Q174" s="383">
        <f t="shared" si="29"/>
        <v>8527.5134970476793</v>
      </c>
    </row>
    <row r="175" spans="9:17" s="7" customFormat="1" ht="15.5" hidden="1" x14ac:dyDescent="0.35">
      <c r="I175" s="382" t="s">
        <v>192</v>
      </c>
      <c r="J175" s="223"/>
      <c r="K175" s="383">
        <f t="shared" si="26"/>
        <v>3466.4891417461331</v>
      </c>
      <c r="L175" s="230"/>
      <c r="M175" s="383">
        <f t="shared" si="27"/>
        <v>6717.9970950526631</v>
      </c>
      <c r="N175" s="230"/>
      <c r="O175" s="383">
        <f t="shared" si="28"/>
        <v>4550.325126181644</v>
      </c>
      <c r="P175" s="230"/>
      <c r="Q175" s="383">
        <f t="shared" si="29"/>
        <v>8885.6690639236822</v>
      </c>
    </row>
    <row r="176" spans="9:17" s="7" customFormat="1" ht="15.5" hidden="1" x14ac:dyDescent="0.35">
      <c r="I176" s="382" t="s">
        <v>223</v>
      </c>
      <c r="J176" s="223"/>
      <c r="K176" s="383">
        <f t="shared" si="26"/>
        <v>3612.0816856994707</v>
      </c>
      <c r="L176" s="230"/>
      <c r="M176" s="383">
        <f t="shared" si="27"/>
        <v>7000.1529730448756</v>
      </c>
      <c r="N176" s="230"/>
      <c r="O176" s="383">
        <f t="shared" si="28"/>
        <v>4741.4387814812735</v>
      </c>
      <c r="P176" s="230"/>
      <c r="Q176" s="383">
        <f t="shared" si="29"/>
        <v>9258.8671646084767</v>
      </c>
    </row>
    <row r="177" spans="9:17" s="7" customFormat="1" ht="15.5" hidden="1" x14ac:dyDescent="0.35">
      <c r="I177" s="382" t="s">
        <v>224</v>
      </c>
      <c r="J177" s="223"/>
      <c r="K177" s="383">
        <f t="shared" si="26"/>
        <v>3763.7891164988487</v>
      </c>
      <c r="L177" s="230"/>
      <c r="M177" s="383">
        <f t="shared" si="27"/>
        <v>7294.1593979127611</v>
      </c>
      <c r="N177" s="230"/>
      <c r="O177" s="383">
        <f t="shared" si="28"/>
        <v>4940.5792103034873</v>
      </c>
      <c r="P177" s="230"/>
      <c r="Q177" s="383">
        <f t="shared" si="29"/>
        <v>9647.7395855220329</v>
      </c>
    </row>
    <row r="178" spans="9:17" s="7" customFormat="1" ht="15.5" hidden="1" x14ac:dyDescent="0.35">
      <c r="I178" s="382" t="s">
        <v>225</v>
      </c>
      <c r="J178" s="223"/>
      <c r="K178" s="383">
        <f t="shared" si="26"/>
        <v>3921.8682593918006</v>
      </c>
      <c r="L178" s="230"/>
      <c r="M178" s="383">
        <f t="shared" si="27"/>
        <v>7600.514092625097</v>
      </c>
      <c r="N178" s="230"/>
      <c r="O178" s="383">
        <f t="shared" si="28"/>
        <v>5148.0835371362336</v>
      </c>
      <c r="P178" s="230"/>
      <c r="Q178" s="383">
        <f t="shared" si="29"/>
        <v>10052.944648113958</v>
      </c>
    </row>
    <row r="179" spans="9:17" s="7" customFormat="1" ht="15.5" hidden="1" x14ac:dyDescent="0.35">
      <c r="I179" s="219"/>
      <c r="J179" s="223"/>
      <c r="K179" s="222">
        <v>0</v>
      </c>
      <c r="L179" s="223"/>
      <c r="M179" s="224"/>
      <c r="N179" s="220"/>
      <c r="O179" s="222">
        <v>0</v>
      </c>
      <c r="P179" s="220"/>
      <c r="Q179" s="224"/>
    </row>
    <row r="180" spans="9:17" s="7" customFormat="1" ht="15.5" hidden="1" x14ac:dyDescent="0.35">
      <c r="I180" s="382" t="s">
        <v>194</v>
      </c>
      <c r="J180" s="223"/>
      <c r="K180" s="225">
        <f>(0.375*U109)+V123</f>
        <v>2940.4850000000001</v>
      </c>
      <c r="L180" s="220"/>
      <c r="M180" s="225">
        <f>(0.75*U109)+V123</f>
        <v>5698.61</v>
      </c>
      <c r="N180" s="220"/>
      <c r="O180" s="225">
        <f>(0.5*U109)+V123</f>
        <v>3859.86</v>
      </c>
      <c r="P180" s="220"/>
      <c r="Q180" s="225">
        <f>U109+V123</f>
        <v>7537.36</v>
      </c>
    </row>
    <row r="181" spans="9:17" s="7" customFormat="1" ht="15.5" hidden="1" x14ac:dyDescent="0.35">
      <c r="I181" s="382" t="s">
        <v>195</v>
      </c>
      <c r="J181" s="223"/>
      <c r="K181" s="383">
        <f>K180*$S$108</f>
        <v>3063.9853700000003</v>
      </c>
      <c r="L181" s="230"/>
      <c r="M181" s="383">
        <f>M180*$S$108</f>
        <v>5937.9516199999998</v>
      </c>
      <c r="N181" s="230"/>
      <c r="O181" s="383">
        <f>O180*$S$108</f>
        <v>4021.9741200000003</v>
      </c>
      <c r="P181" s="230"/>
      <c r="Q181" s="383">
        <f>Q180*$S$108</f>
        <v>7853.9291199999998</v>
      </c>
    </row>
    <row r="182" spans="9:17" s="7" customFormat="1" ht="15.5" hidden="1" x14ac:dyDescent="0.35">
      <c r="I182" s="382" t="s">
        <v>196</v>
      </c>
      <c r="J182" s="223"/>
      <c r="K182" s="383">
        <f t="shared" ref="K182:K187" si="30">K181*$S$108</f>
        <v>3192.6727555400003</v>
      </c>
      <c r="L182" s="230"/>
      <c r="M182" s="383">
        <f t="shared" ref="M182:M187" si="31">M181*$S$108</f>
        <v>6187.3455880399997</v>
      </c>
      <c r="N182" s="230"/>
      <c r="O182" s="383">
        <f t="shared" ref="O182:O187" si="32">O181*$S$108</f>
        <v>4190.8970330400007</v>
      </c>
      <c r="P182" s="230"/>
      <c r="Q182" s="383">
        <f t="shared" ref="Q182:Q187" si="33">Q181*$S$108</f>
        <v>8183.7941430399997</v>
      </c>
    </row>
    <row r="183" spans="9:17" s="7" customFormat="1" ht="15.5" hidden="1" x14ac:dyDescent="0.35">
      <c r="I183" s="382" t="s">
        <v>197</v>
      </c>
      <c r="J183" s="223"/>
      <c r="K183" s="383">
        <f t="shared" si="30"/>
        <v>3326.7650112726806</v>
      </c>
      <c r="L183" s="230"/>
      <c r="M183" s="383">
        <f t="shared" si="31"/>
        <v>6447.2141027376802</v>
      </c>
      <c r="N183" s="230"/>
      <c r="O183" s="383">
        <f t="shared" si="32"/>
        <v>4366.914708427681</v>
      </c>
      <c r="P183" s="230"/>
      <c r="Q183" s="383">
        <f t="shared" si="33"/>
        <v>8527.5134970476793</v>
      </c>
    </row>
    <row r="184" spans="9:17" s="7" customFormat="1" ht="15.5" hidden="1" x14ac:dyDescent="0.35">
      <c r="I184" s="382" t="s">
        <v>198</v>
      </c>
      <c r="J184" s="223"/>
      <c r="K184" s="383">
        <f t="shared" si="30"/>
        <v>3466.4891417461331</v>
      </c>
      <c r="L184" s="230"/>
      <c r="M184" s="383">
        <f t="shared" si="31"/>
        <v>6717.9970950526631</v>
      </c>
      <c r="N184" s="230"/>
      <c r="O184" s="383">
        <f t="shared" si="32"/>
        <v>4550.325126181644</v>
      </c>
      <c r="P184" s="230"/>
      <c r="Q184" s="383">
        <f t="shared" si="33"/>
        <v>8885.6690639236822</v>
      </c>
    </row>
    <row r="185" spans="9:17" s="7" customFormat="1" ht="15.5" hidden="1" x14ac:dyDescent="0.35">
      <c r="I185" s="382" t="s">
        <v>231</v>
      </c>
      <c r="J185" s="223"/>
      <c r="K185" s="383">
        <f t="shared" si="30"/>
        <v>3612.0816856994707</v>
      </c>
      <c r="L185" s="230"/>
      <c r="M185" s="383">
        <f t="shared" si="31"/>
        <v>7000.1529730448756</v>
      </c>
      <c r="N185" s="230"/>
      <c r="O185" s="383">
        <f t="shared" si="32"/>
        <v>4741.4387814812735</v>
      </c>
      <c r="P185" s="230"/>
      <c r="Q185" s="383">
        <f t="shared" si="33"/>
        <v>9258.8671646084767</v>
      </c>
    </row>
    <row r="186" spans="9:17" s="7" customFormat="1" ht="15.5" hidden="1" x14ac:dyDescent="0.35">
      <c r="I186" s="382" t="s">
        <v>233</v>
      </c>
      <c r="J186" s="223"/>
      <c r="K186" s="383">
        <f t="shared" si="30"/>
        <v>3763.7891164988487</v>
      </c>
      <c r="L186" s="230"/>
      <c r="M186" s="383">
        <f t="shared" si="31"/>
        <v>7294.1593979127611</v>
      </c>
      <c r="N186" s="230"/>
      <c r="O186" s="383">
        <f t="shared" si="32"/>
        <v>4940.5792103034873</v>
      </c>
      <c r="P186" s="230"/>
      <c r="Q186" s="383">
        <f t="shared" si="33"/>
        <v>9647.7395855220329</v>
      </c>
    </row>
    <row r="187" spans="9:17" s="7" customFormat="1" ht="15.5" hidden="1" x14ac:dyDescent="0.35">
      <c r="I187" s="382" t="s">
        <v>235</v>
      </c>
      <c r="J187" s="223"/>
      <c r="K187" s="383">
        <f t="shared" si="30"/>
        <v>3921.8682593918006</v>
      </c>
      <c r="L187" s="230"/>
      <c r="M187" s="383">
        <f t="shared" si="31"/>
        <v>7600.514092625097</v>
      </c>
      <c r="N187" s="230"/>
      <c r="O187" s="383">
        <f t="shared" si="32"/>
        <v>5148.0835371362336</v>
      </c>
      <c r="P187" s="230"/>
      <c r="Q187" s="383">
        <f t="shared" si="33"/>
        <v>10052.944648113958</v>
      </c>
    </row>
    <row r="188" spans="9:17" s="7" customFormat="1" ht="15.5" hidden="1" x14ac:dyDescent="0.35">
      <c r="I188" s="219"/>
      <c r="J188" s="223"/>
      <c r="K188" s="222">
        <v>0</v>
      </c>
      <c r="L188" s="223"/>
      <c r="M188" s="224"/>
      <c r="N188" s="220"/>
      <c r="O188" s="222">
        <v>0</v>
      </c>
      <c r="P188" s="220"/>
      <c r="Q188" s="224"/>
    </row>
    <row r="189" spans="9:17" s="7" customFormat="1" ht="15.5" hidden="1" x14ac:dyDescent="0.35">
      <c r="I189" s="382" t="s">
        <v>182</v>
      </c>
      <c r="J189" s="223"/>
      <c r="K189" s="226">
        <f>(0.375*U116)+W123</f>
        <v>1618.5225</v>
      </c>
      <c r="L189" s="220"/>
      <c r="M189" s="226">
        <f>(0.75*U116)+W123</f>
        <v>3146.355</v>
      </c>
      <c r="N189" s="220"/>
      <c r="O189" s="226">
        <f>(0.5*U116)+W123</f>
        <v>2127.8000000000002</v>
      </c>
      <c r="P189" s="227"/>
      <c r="Q189" s="226">
        <f>U116+W123</f>
        <v>4164.91</v>
      </c>
    </row>
    <row r="190" spans="9:17" s="7" customFormat="1" ht="15.5" hidden="1" x14ac:dyDescent="0.35">
      <c r="I190" s="382" t="s">
        <v>183</v>
      </c>
      <c r="J190" s="223"/>
      <c r="K190" s="383">
        <f>K189*$S$108</f>
        <v>1686.5004450000001</v>
      </c>
      <c r="L190" s="230"/>
      <c r="M190" s="383">
        <f>M189*$S$108</f>
        <v>3278.50191</v>
      </c>
      <c r="N190" s="230"/>
      <c r="O190" s="383">
        <f>O189*$S$108</f>
        <v>2217.1676000000002</v>
      </c>
      <c r="P190" s="231"/>
      <c r="Q190" s="383">
        <f>Q189*$S$108</f>
        <v>4339.8362200000001</v>
      </c>
    </row>
    <row r="191" spans="9:17" s="7" customFormat="1" ht="15.5" hidden="1" x14ac:dyDescent="0.35">
      <c r="I191" s="382" t="s">
        <v>184</v>
      </c>
      <c r="J191" s="223"/>
      <c r="K191" s="383">
        <f t="shared" ref="K191:K196" si="34">K190*$S$108</f>
        <v>1757.3334636900001</v>
      </c>
      <c r="L191" s="230"/>
      <c r="M191" s="383">
        <f t="shared" ref="M191:M196" si="35">M190*$S$108</f>
        <v>3416.1989902200003</v>
      </c>
      <c r="N191" s="230"/>
      <c r="O191" s="383">
        <f t="shared" ref="O191:O196" si="36">O190*$S$108</f>
        <v>2310.2886392000005</v>
      </c>
      <c r="P191" s="231"/>
      <c r="Q191" s="383">
        <f t="shared" ref="Q191:Q196" si="37">Q190*$S$108</f>
        <v>4522.1093412400005</v>
      </c>
    </row>
    <row r="192" spans="9:17" s="7" customFormat="1" ht="15.5" hidden="1" x14ac:dyDescent="0.35">
      <c r="I192" s="382" t="s">
        <v>185</v>
      </c>
      <c r="J192" s="223"/>
      <c r="K192" s="383">
        <f t="shared" si="34"/>
        <v>1831.1414691649802</v>
      </c>
      <c r="L192" s="230"/>
      <c r="M192" s="383">
        <f t="shared" si="35"/>
        <v>3559.6793478092404</v>
      </c>
      <c r="N192" s="230"/>
      <c r="O192" s="383">
        <f t="shared" si="36"/>
        <v>2407.3207620464004</v>
      </c>
      <c r="P192" s="231"/>
      <c r="Q192" s="383">
        <f t="shared" si="37"/>
        <v>4712.0379335720809</v>
      </c>
    </row>
    <row r="193" spans="9:19" s="7" customFormat="1" ht="15.5" hidden="1" x14ac:dyDescent="0.35">
      <c r="I193" s="382" t="s">
        <v>186</v>
      </c>
      <c r="J193" s="223"/>
      <c r="K193" s="383">
        <f t="shared" si="34"/>
        <v>1908.0494108699095</v>
      </c>
      <c r="L193" s="230"/>
      <c r="M193" s="383">
        <f t="shared" si="35"/>
        <v>3709.1858804172289</v>
      </c>
      <c r="N193" s="230"/>
      <c r="O193" s="383">
        <f t="shared" si="36"/>
        <v>2508.4282340523491</v>
      </c>
      <c r="P193" s="231"/>
      <c r="Q193" s="383">
        <f t="shared" si="37"/>
        <v>4909.9435267821082</v>
      </c>
    </row>
    <row r="194" spans="9:19" s="7" customFormat="1" ht="15.5" hidden="1" x14ac:dyDescent="0.35">
      <c r="I194" s="382" t="s">
        <v>242</v>
      </c>
      <c r="J194" s="223"/>
      <c r="K194" s="383">
        <f t="shared" si="34"/>
        <v>1988.1874861264457</v>
      </c>
      <c r="L194" s="230"/>
      <c r="M194" s="383">
        <f t="shared" si="35"/>
        <v>3864.9716873947527</v>
      </c>
      <c r="N194" s="230"/>
      <c r="O194" s="383">
        <f t="shared" si="36"/>
        <v>2613.7822198825479</v>
      </c>
      <c r="P194" s="231"/>
      <c r="Q194" s="383">
        <f t="shared" si="37"/>
        <v>5116.1611549069567</v>
      </c>
    </row>
    <row r="195" spans="9:19" s="7" customFormat="1" ht="15.5" hidden="1" x14ac:dyDescent="0.35">
      <c r="I195" s="382" t="s">
        <v>243</v>
      </c>
      <c r="J195" s="223"/>
      <c r="K195" s="383">
        <f t="shared" si="34"/>
        <v>2071.6913605437567</v>
      </c>
      <c r="L195" s="230"/>
      <c r="M195" s="383">
        <f t="shared" si="35"/>
        <v>4027.3004982653324</v>
      </c>
      <c r="N195" s="230"/>
      <c r="O195" s="383">
        <f t="shared" si="36"/>
        <v>2723.5610731176148</v>
      </c>
      <c r="P195" s="231"/>
      <c r="Q195" s="383">
        <f t="shared" si="37"/>
        <v>5331.0399234130491</v>
      </c>
    </row>
    <row r="196" spans="9:19" s="7" customFormat="1" ht="15.5" hidden="1" x14ac:dyDescent="0.35">
      <c r="I196" s="382" t="s">
        <v>244</v>
      </c>
      <c r="J196" s="223"/>
      <c r="K196" s="383">
        <f t="shared" si="34"/>
        <v>2158.7023976865944</v>
      </c>
      <c r="L196" s="230"/>
      <c r="M196" s="383">
        <f t="shared" si="35"/>
        <v>4196.4471191924767</v>
      </c>
      <c r="N196" s="230"/>
      <c r="O196" s="383">
        <f t="shared" si="36"/>
        <v>2837.9506381885549</v>
      </c>
      <c r="P196" s="231"/>
      <c r="Q196" s="383">
        <f t="shared" si="37"/>
        <v>5554.9436001963977</v>
      </c>
      <c r="R196" s="217"/>
      <c r="S196" s="217"/>
    </row>
    <row r="197" spans="9:19" s="103" customFormat="1" ht="15.5" hidden="1" x14ac:dyDescent="0.35"/>
    <row r="198" spans="9:19" s="103" customFormat="1" ht="18" hidden="1" customHeight="1" x14ac:dyDescent="0.35">
      <c r="I198" s="228" t="s">
        <v>251</v>
      </c>
      <c r="J198" s="228"/>
      <c r="K198" s="228"/>
      <c r="L198" s="228"/>
      <c r="M198" s="228"/>
      <c r="N198" s="228"/>
      <c r="O198" s="228"/>
      <c r="P198" s="228"/>
      <c r="Q198" s="228"/>
    </row>
    <row r="199" spans="9:19" s="103" customFormat="1" ht="15.5" hidden="1" x14ac:dyDescent="0.35">
      <c r="I199" s="223"/>
      <c r="J199" s="220"/>
      <c r="K199" s="224" t="s">
        <v>246</v>
      </c>
      <c r="L199" s="220"/>
      <c r="M199" s="224" t="s">
        <v>247</v>
      </c>
      <c r="N199" s="220"/>
      <c r="O199" s="224" t="s">
        <v>248</v>
      </c>
      <c r="P199" s="220"/>
      <c r="Q199" s="224" t="s">
        <v>249</v>
      </c>
    </row>
    <row r="200" spans="9:19" s="103" customFormat="1" ht="15.5" hidden="1" x14ac:dyDescent="0.35">
      <c r="I200" s="219"/>
      <c r="J200" s="220"/>
      <c r="K200" s="223"/>
      <c r="L200" s="223"/>
      <c r="M200" s="224"/>
      <c r="N200" s="220"/>
      <c r="O200" s="224"/>
      <c r="P200" s="220"/>
      <c r="Q200" s="224"/>
    </row>
    <row r="201" spans="9:19" s="103" customFormat="1" ht="15.5" hidden="1" x14ac:dyDescent="0.35">
      <c r="I201" s="382" t="s">
        <v>188</v>
      </c>
      <c r="J201" s="223"/>
      <c r="K201" s="221">
        <f>(0.375*U112)+V123</f>
        <v>2706.86</v>
      </c>
      <c r="L201" s="220"/>
      <c r="M201" s="221">
        <f>(0.75*U112)+V123</f>
        <v>5231.3599999999997</v>
      </c>
      <c r="N201" s="220"/>
      <c r="O201" s="221">
        <f>(0.5*U112)+V123</f>
        <v>3548.36</v>
      </c>
      <c r="P201" s="220"/>
      <c r="Q201" s="221">
        <f>U112+V123</f>
        <v>6914.36</v>
      </c>
    </row>
    <row r="202" spans="9:19" s="103" customFormat="1" ht="15.5" hidden="1" x14ac:dyDescent="0.35">
      <c r="I202" s="382" t="s">
        <v>189</v>
      </c>
      <c r="J202" s="223"/>
      <c r="K202" s="383">
        <f>K201*$S$108</f>
        <v>2820.5481200000004</v>
      </c>
      <c r="L202" s="230"/>
      <c r="M202" s="383">
        <f>M201*$S$108</f>
        <v>5451.0771199999999</v>
      </c>
      <c r="N202" s="230"/>
      <c r="O202" s="383">
        <f>O201*$S$108</f>
        <v>3697.3911200000002</v>
      </c>
      <c r="P202" s="230"/>
      <c r="Q202" s="383">
        <f>Q201*$S$108</f>
        <v>7204.7631199999996</v>
      </c>
    </row>
    <row r="203" spans="9:19" s="103" customFormat="1" ht="15.5" hidden="1" x14ac:dyDescent="0.35">
      <c r="I203" s="382" t="s">
        <v>190</v>
      </c>
      <c r="J203" s="223"/>
      <c r="K203" s="383">
        <f t="shared" ref="K203:K208" si="38">K202*$S$108</f>
        <v>2939.0111410400004</v>
      </c>
      <c r="L203" s="230"/>
      <c r="M203" s="383">
        <f t="shared" ref="M203:M208" si="39">M202*$S$108</f>
        <v>5680.0223590400001</v>
      </c>
      <c r="N203" s="230"/>
      <c r="O203" s="383">
        <f t="shared" ref="O203:O208" si="40">O202*$S$108</f>
        <v>3852.6815470400002</v>
      </c>
      <c r="P203" s="230"/>
      <c r="Q203" s="383">
        <f t="shared" ref="Q203:Q208" si="41">Q202*$S$108</f>
        <v>7507.3631710399995</v>
      </c>
    </row>
    <row r="204" spans="9:19" s="103" customFormat="1" ht="15.5" hidden="1" x14ac:dyDescent="0.35">
      <c r="I204" s="382" t="s">
        <v>191</v>
      </c>
      <c r="J204" s="223"/>
      <c r="K204" s="383">
        <f t="shared" si="38"/>
        <v>3062.4496089636805</v>
      </c>
      <c r="L204" s="230"/>
      <c r="M204" s="383">
        <f t="shared" si="39"/>
        <v>5918.58329811968</v>
      </c>
      <c r="N204" s="230"/>
      <c r="O204" s="383">
        <f t="shared" si="40"/>
        <v>4014.4941720156803</v>
      </c>
      <c r="P204" s="230"/>
      <c r="Q204" s="383">
        <f t="shared" si="41"/>
        <v>7822.6724242236796</v>
      </c>
    </row>
    <row r="205" spans="9:19" s="103" customFormat="1" ht="15.5" hidden="1" x14ac:dyDescent="0.35">
      <c r="I205" s="382" t="s">
        <v>192</v>
      </c>
      <c r="J205" s="223"/>
      <c r="K205" s="383">
        <f t="shared" si="38"/>
        <v>3191.0724925401551</v>
      </c>
      <c r="L205" s="230"/>
      <c r="M205" s="383">
        <f t="shared" si="39"/>
        <v>6167.163796640707</v>
      </c>
      <c r="N205" s="230"/>
      <c r="O205" s="383">
        <f t="shared" si="40"/>
        <v>4183.1029272403393</v>
      </c>
      <c r="P205" s="230"/>
      <c r="Q205" s="383">
        <f t="shared" si="41"/>
        <v>8151.2246660410747</v>
      </c>
    </row>
    <row r="206" spans="9:19" s="103" customFormat="1" ht="15.5" hidden="1" x14ac:dyDescent="0.35">
      <c r="I206" s="382" t="s">
        <v>223</v>
      </c>
      <c r="J206" s="223"/>
      <c r="K206" s="383">
        <f t="shared" si="38"/>
        <v>3325.0975372268417</v>
      </c>
      <c r="L206" s="230"/>
      <c r="M206" s="383">
        <f t="shared" si="39"/>
        <v>6426.1846760996168</v>
      </c>
      <c r="N206" s="230"/>
      <c r="O206" s="383">
        <f t="shared" si="40"/>
        <v>4358.7932501844334</v>
      </c>
      <c r="P206" s="230"/>
      <c r="Q206" s="383">
        <f t="shared" si="41"/>
        <v>8493.5761020148002</v>
      </c>
    </row>
    <row r="207" spans="9:19" s="103" customFormat="1" ht="15.5" hidden="1" x14ac:dyDescent="0.35">
      <c r="I207" s="382" t="s">
        <v>224</v>
      </c>
      <c r="J207" s="223"/>
      <c r="K207" s="383">
        <f t="shared" si="38"/>
        <v>3464.7516337903694</v>
      </c>
      <c r="L207" s="230"/>
      <c r="M207" s="383">
        <f t="shared" si="39"/>
        <v>6696.0844324958007</v>
      </c>
      <c r="N207" s="230"/>
      <c r="O207" s="383">
        <f t="shared" si="40"/>
        <v>4541.8625666921798</v>
      </c>
      <c r="P207" s="230"/>
      <c r="Q207" s="383">
        <f t="shared" si="41"/>
        <v>8850.3062982994215</v>
      </c>
    </row>
    <row r="208" spans="9:19" s="103" customFormat="1" ht="15.5" hidden="1" x14ac:dyDescent="0.35">
      <c r="I208" s="382" t="s">
        <v>225</v>
      </c>
      <c r="J208" s="223"/>
      <c r="K208" s="383">
        <f t="shared" si="38"/>
        <v>3610.2712024095649</v>
      </c>
      <c r="L208" s="230"/>
      <c r="M208" s="383">
        <f t="shared" si="39"/>
        <v>6977.3199786606247</v>
      </c>
      <c r="N208" s="230"/>
      <c r="O208" s="383">
        <f t="shared" si="40"/>
        <v>4732.6207944932512</v>
      </c>
      <c r="P208" s="230"/>
      <c r="Q208" s="383">
        <f t="shared" si="41"/>
        <v>9222.0191628279972</v>
      </c>
    </row>
    <row r="209" spans="9:17" s="103" customFormat="1" ht="15.5" hidden="1" x14ac:dyDescent="0.35">
      <c r="I209" s="219"/>
      <c r="J209" s="223"/>
      <c r="K209" s="222">
        <v>0</v>
      </c>
      <c r="L209" s="223"/>
      <c r="M209" s="224"/>
      <c r="N209" s="220"/>
      <c r="O209" s="222">
        <v>0</v>
      </c>
      <c r="P209" s="220"/>
      <c r="Q209" s="224"/>
    </row>
    <row r="210" spans="9:17" s="103" customFormat="1" ht="15.5" hidden="1" x14ac:dyDescent="0.35">
      <c r="I210" s="382" t="s">
        <v>194</v>
      </c>
      <c r="J210" s="223"/>
      <c r="K210" s="225">
        <f>(0.375*U112)+V123</f>
        <v>2706.86</v>
      </c>
      <c r="L210" s="220"/>
      <c r="M210" s="225">
        <f>(0.75*U112)+V123</f>
        <v>5231.3599999999997</v>
      </c>
      <c r="N210" s="220"/>
      <c r="O210" s="225">
        <f>(0.5*U112)+V123</f>
        <v>3548.36</v>
      </c>
      <c r="P210" s="220"/>
      <c r="Q210" s="225">
        <f>U112+V123</f>
        <v>6914.36</v>
      </c>
    </row>
    <row r="211" spans="9:17" s="103" customFormat="1" ht="15.5" hidden="1" x14ac:dyDescent="0.35">
      <c r="I211" s="382" t="s">
        <v>195</v>
      </c>
      <c r="J211" s="223"/>
      <c r="K211" s="383">
        <f>K210*$S$108</f>
        <v>2820.5481200000004</v>
      </c>
      <c r="L211" s="230"/>
      <c r="M211" s="383">
        <f>M210*$S$108</f>
        <v>5451.0771199999999</v>
      </c>
      <c r="N211" s="230"/>
      <c r="O211" s="383">
        <f>O210*$S$108</f>
        <v>3697.3911200000002</v>
      </c>
      <c r="P211" s="230"/>
      <c r="Q211" s="383">
        <f>Q210*$S$108</f>
        <v>7204.7631199999996</v>
      </c>
    </row>
    <row r="212" spans="9:17" s="103" customFormat="1" ht="15.5" hidden="1" x14ac:dyDescent="0.35">
      <c r="I212" s="382" t="s">
        <v>196</v>
      </c>
      <c r="J212" s="223"/>
      <c r="K212" s="383">
        <f t="shared" ref="K212:K217" si="42">K211*$S$108</f>
        <v>2939.0111410400004</v>
      </c>
      <c r="L212" s="230"/>
      <c r="M212" s="383">
        <f t="shared" ref="M212:M217" si="43">M211*$S$108</f>
        <v>5680.0223590400001</v>
      </c>
      <c r="N212" s="230"/>
      <c r="O212" s="383">
        <f t="shared" ref="O212:O217" si="44">O211*$S$108</f>
        <v>3852.6815470400002</v>
      </c>
      <c r="P212" s="230"/>
      <c r="Q212" s="383">
        <f t="shared" ref="Q212:Q217" si="45">Q211*$S$108</f>
        <v>7507.3631710399995</v>
      </c>
    </row>
    <row r="213" spans="9:17" s="103" customFormat="1" ht="15.5" hidden="1" x14ac:dyDescent="0.35">
      <c r="I213" s="382" t="s">
        <v>197</v>
      </c>
      <c r="J213" s="223"/>
      <c r="K213" s="383">
        <f t="shared" si="42"/>
        <v>3062.4496089636805</v>
      </c>
      <c r="L213" s="230"/>
      <c r="M213" s="383">
        <f t="shared" si="43"/>
        <v>5918.58329811968</v>
      </c>
      <c r="N213" s="230"/>
      <c r="O213" s="383">
        <f t="shared" si="44"/>
        <v>4014.4941720156803</v>
      </c>
      <c r="P213" s="230"/>
      <c r="Q213" s="383">
        <f t="shared" si="45"/>
        <v>7822.6724242236796</v>
      </c>
    </row>
    <row r="214" spans="9:17" s="103" customFormat="1" ht="15.5" hidden="1" x14ac:dyDescent="0.35">
      <c r="I214" s="382" t="s">
        <v>198</v>
      </c>
      <c r="J214" s="223"/>
      <c r="K214" s="383">
        <f t="shared" si="42"/>
        <v>3191.0724925401551</v>
      </c>
      <c r="L214" s="230"/>
      <c r="M214" s="383">
        <f t="shared" si="43"/>
        <v>6167.163796640707</v>
      </c>
      <c r="N214" s="230"/>
      <c r="O214" s="383">
        <f t="shared" si="44"/>
        <v>4183.1029272403393</v>
      </c>
      <c r="P214" s="230"/>
      <c r="Q214" s="383">
        <f t="shared" si="45"/>
        <v>8151.2246660410747</v>
      </c>
    </row>
    <row r="215" spans="9:17" s="103" customFormat="1" ht="15.5" hidden="1" x14ac:dyDescent="0.35">
      <c r="I215" s="382" t="s">
        <v>231</v>
      </c>
      <c r="J215" s="223"/>
      <c r="K215" s="383">
        <f t="shared" si="42"/>
        <v>3325.0975372268417</v>
      </c>
      <c r="L215" s="230"/>
      <c r="M215" s="383">
        <f t="shared" si="43"/>
        <v>6426.1846760996168</v>
      </c>
      <c r="N215" s="230"/>
      <c r="O215" s="383">
        <f t="shared" si="44"/>
        <v>4358.7932501844334</v>
      </c>
      <c r="P215" s="230"/>
      <c r="Q215" s="383">
        <f t="shared" si="45"/>
        <v>8493.5761020148002</v>
      </c>
    </row>
    <row r="216" spans="9:17" s="103" customFormat="1" ht="15.5" hidden="1" x14ac:dyDescent="0.35">
      <c r="I216" s="382" t="s">
        <v>233</v>
      </c>
      <c r="J216" s="223"/>
      <c r="K216" s="383">
        <f t="shared" si="42"/>
        <v>3464.7516337903694</v>
      </c>
      <c r="L216" s="230"/>
      <c r="M216" s="383">
        <f t="shared" si="43"/>
        <v>6696.0844324958007</v>
      </c>
      <c r="N216" s="230"/>
      <c r="O216" s="383">
        <f t="shared" si="44"/>
        <v>4541.8625666921798</v>
      </c>
      <c r="P216" s="230"/>
      <c r="Q216" s="383">
        <f t="shared" si="45"/>
        <v>8850.3062982994215</v>
      </c>
    </row>
    <row r="217" spans="9:17" s="103" customFormat="1" ht="15.5" hidden="1" x14ac:dyDescent="0.35">
      <c r="I217" s="382" t="s">
        <v>235</v>
      </c>
      <c r="J217" s="223"/>
      <c r="K217" s="383">
        <f t="shared" si="42"/>
        <v>3610.2712024095649</v>
      </c>
      <c r="L217" s="230"/>
      <c r="M217" s="383">
        <f t="shared" si="43"/>
        <v>6977.3199786606247</v>
      </c>
      <c r="N217" s="230"/>
      <c r="O217" s="383">
        <f t="shared" si="44"/>
        <v>4732.6207944932512</v>
      </c>
      <c r="P217" s="230"/>
      <c r="Q217" s="383">
        <f t="shared" si="45"/>
        <v>9222.0191628279972</v>
      </c>
    </row>
    <row r="218" spans="9:17" s="103" customFormat="1" ht="15.5" hidden="1" x14ac:dyDescent="0.35">
      <c r="I218" s="219"/>
      <c r="J218" s="223"/>
      <c r="K218" s="222">
        <v>0</v>
      </c>
      <c r="L218" s="223"/>
      <c r="M218" s="224"/>
      <c r="N218" s="220"/>
      <c r="O218" s="222">
        <v>0</v>
      </c>
      <c r="P218" s="220"/>
      <c r="Q218" s="224"/>
    </row>
    <row r="219" spans="9:17" s="103" customFormat="1" ht="15.5" hidden="1" x14ac:dyDescent="0.35">
      <c r="I219" s="382" t="s">
        <v>182</v>
      </c>
      <c r="J219" s="223"/>
      <c r="K219" s="226">
        <f>(0.375*U119)+W123</f>
        <v>1489.575</v>
      </c>
      <c r="L219" s="220"/>
      <c r="M219" s="226">
        <f>(0.75*U119)+W123</f>
        <v>2888.46</v>
      </c>
      <c r="N219" s="220"/>
      <c r="O219" s="226">
        <f>(0.5*U119)+W123</f>
        <v>1955.8700000000001</v>
      </c>
      <c r="P219" s="227"/>
      <c r="Q219" s="226">
        <f>U119+W123</f>
        <v>3821.05</v>
      </c>
    </row>
    <row r="220" spans="9:17" s="103" customFormat="1" ht="15.5" hidden="1" x14ac:dyDescent="0.35">
      <c r="I220" s="382" t="s">
        <v>183</v>
      </c>
      <c r="J220" s="223"/>
      <c r="K220" s="383">
        <f>K219*$S$108</f>
        <v>1552.13715</v>
      </c>
      <c r="L220" s="230"/>
      <c r="M220" s="383">
        <f>M219*$S$108</f>
        <v>3009.7753200000002</v>
      </c>
      <c r="N220" s="230"/>
      <c r="O220" s="383">
        <f>O219*$S$108</f>
        <v>2038.0165400000003</v>
      </c>
      <c r="P220" s="231"/>
      <c r="Q220" s="383">
        <f>Q219*$S$108</f>
        <v>3981.5341000000003</v>
      </c>
    </row>
    <row r="221" spans="9:17" s="103" customFormat="1" ht="15.5" hidden="1" x14ac:dyDescent="0.35">
      <c r="I221" s="382" t="s">
        <v>184</v>
      </c>
      <c r="J221" s="223"/>
      <c r="K221" s="383">
        <f t="shared" ref="K221:K226" si="46">K220*$S$108</f>
        <v>1617.3269103</v>
      </c>
      <c r="L221" s="230"/>
      <c r="M221" s="383">
        <f t="shared" ref="M221:M226" si="47">M220*$S$108</f>
        <v>3136.1858834400005</v>
      </c>
      <c r="N221" s="230"/>
      <c r="O221" s="383">
        <f t="shared" ref="O221:O226" si="48">O220*$S$108</f>
        <v>2123.6132346800005</v>
      </c>
      <c r="P221" s="231"/>
      <c r="Q221" s="383">
        <f t="shared" ref="Q221:Q226" si="49">Q220*$S$108</f>
        <v>4148.7585322000004</v>
      </c>
    </row>
    <row r="222" spans="9:17" s="103" customFormat="1" ht="15.5" hidden="1" x14ac:dyDescent="0.35">
      <c r="I222" s="382" t="s">
        <v>185</v>
      </c>
      <c r="J222" s="223"/>
      <c r="K222" s="383">
        <f t="shared" si="46"/>
        <v>1685.2546405326</v>
      </c>
      <c r="L222" s="230"/>
      <c r="M222" s="383">
        <f t="shared" si="47"/>
        <v>3267.9056905444804</v>
      </c>
      <c r="N222" s="230"/>
      <c r="O222" s="383">
        <f t="shared" si="48"/>
        <v>2212.8049905365606</v>
      </c>
      <c r="P222" s="231"/>
      <c r="Q222" s="383">
        <f t="shared" si="49"/>
        <v>4323.0063905524003</v>
      </c>
    </row>
    <row r="223" spans="9:17" s="103" customFormat="1" ht="15.5" hidden="1" x14ac:dyDescent="0.35">
      <c r="I223" s="382" t="s">
        <v>186</v>
      </c>
      <c r="J223" s="223"/>
      <c r="K223" s="383">
        <f t="shared" si="46"/>
        <v>1756.0353354349693</v>
      </c>
      <c r="L223" s="230"/>
      <c r="M223" s="383">
        <f t="shared" si="47"/>
        <v>3405.1577295473489</v>
      </c>
      <c r="N223" s="230"/>
      <c r="O223" s="383">
        <f t="shared" si="48"/>
        <v>2305.7428001390963</v>
      </c>
      <c r="P223" s="231"/>
      <c r="Q223" s="383">
        <f t="shared" si="49"/>
        <v>4504.5726589556016</v>
      </c>
    </row>
    <row r="224" spans="9:17" s="103" customFormat="1" ht="15.5" hidden="1" x14ac:dyDescent="0.35">
      <c r="I224" s="382" t="s">
        <v>242</v>
      </c>
      <c r="J224" s="223"/>
      <c r="K224" s="383">
        <f t="shared" si="46"/>
        <v>1829.7888195232381</v>
      </c>
      <c r="L224" s="230"/>
      <c r="M224" s="383">
        <f t="shared" si="47"/>
        <v>3548.1743541883379</v>
      </c>
      <c r="N224" s="230"/>
      <c r="O224" s="383">
        <f t="shared" si="48"/>
        <v>2402.5839977449386</v>
      </c>
      <c r="P224" s="231"/>
      <c r="Q224" s="383">
        <f t="shared" si="49"/>
        <v>4693.7647106317372</v>
      </c>
    </row>
    <row r="225" spans="9:20" s="103" customFormat="1" ht="15.5" hidden="1" x14ac:dyDescent="0.35">
      <c r="I225" s="382" t="s">
        <v>243</v>
      </c>
      <c r="J225" s="223"/>
      <c r="K225" s="383">
        <f t="shared" si="46"/>
        <v>1906.6399499432141</v>
      </c>
      <c r="L225" s="230"/>
      <c r="M225" s="383">
        <f t="shared" si="47"/>
        <v>3697.1976770642482</v>
      </c>
      <c r="N225" s="230"/>
      <c r="O225" s="383">
        <f t="shared" si="48"/>
        <v>2503.4925256502261</v>
      </c>
      <c r="P225" s="231"/>
      <c r="Q225" s="383">
        <f t="shared" si="49"/>
        <v>4890.9028284782707</v>
      </c>
    </row>
    <row r="226" spans="9:20" s="103" customFormat="1" ht="15.5" hidden="1" x14ac:dyDescent="0.35">
      <c r="I226" s="382" t="s">
        <v>244</v>
      </c>
      <c r="J226" s="229"/>
      <c r="K226" s="383">
        <f t="shared" si="46"/>
        <v>1986.7188278408291</v>
      </c>
      <c r="L226" s="230"/>
      <c r="M226" s="383">
        <f t="shared" si="47"/>
        <v>3852.4799795009467</v>
      </c>
      <c r="N226" s="230"/>
      <c r="O226" s="383">
        <f t="shared" si="48"/>
        <v>2608.6392117275354</v>
      </c>
      <c r="P226" s="231"/>
      <c r="Q226" s="383">
        <f t="shared" si="49"/>
        <v>5096.3207472743579</v>
      </c>
    </row>
    <row r="227" spans="9:20" s="103" customFormat="1" ht="21.75" hidden="1" customHeight="1" x14ac:dyDescent="0.35"/>
    <row r="228" spans="9:20" ht="15.5" hidden="1" x14ac:dyDescent="0.35">
      <c r="I228" s="228" t="s">
        <v>209</v>
      </c>
      <c r="J228" s="228"/>
      <c r="K228" s="228"/>
      <c r="L228" s="228"/>
      <c r="M228" s="228"/>
      <c r="N228" s="228"/>
      <c r="O228" s="228"/>
      <c r="P228" s="228"/>
      <c r="Q228" s="228"/>
      <c r="R228" s="103"/>
      <c r="S228" s="103"/>
      <c r="T228" s="103"/>
    </row>
    <row r="229" spans="9:20" ht="15.5" hidden="1" x14ac:dyDescent="0.35">
      <c r="I229" s="223"/>
      <c r="J229" s="220"/>
      <c r="K229" s="224" t="s">
        <v>246</v>
      </c>
      <c r="L229" s="220"/>
      <c r="M229" s="224" t="s">
        <v>247</v>
      </c>
      <c r="N229" s="220"/>
      <c r="O229" s="224" t="s">
        <v>248</v>
      </c>
      <c r="P229" s="220"/>
      <c r="Q229" s="224" t="s">
        <v>249</v>
      </c>
      <c r="R229" s="103"/>
      <c r="S229" s="103"/>
      <c r="T229" s="103"/>
    </row>
    <row r="230" spans="9:20" ht="15.5" hidden="1" x14ac:dyDescent="0.35">
      <c r="I230" s="219"/>
      <c r="J230" s="220"/>
      <c r="K230" s="223"/>
      <c r="L230" s="223"/>
      <c r="M230" s="224"/>
      <c r="N230" s="220"/>
      <c r="O230" s="224"/>
      <c r="P230" s="220"/>
      <c r="Q230" s="224"/>
      <c r="R230" s="103"/>
      <c r="S230" s="103"/>
      <c r="T230" s="103"/>
    </row>
    <row r="231" spans="9:20" ht="15.5" hidden="1" x14ac:dyDescent="0.35">
      <c r="I231" s="382" t="s">
        <v>188</v>
      </c>
      <c r="J231" s="223"/>
      <c r="K231" s="221">
        <f>(0.375*U111)+V123</f>
        <v>2706.86</v>
      </c>
      <c r="L231" s="220"/>
      <c r="M231" s="221">
        <f>(0.75*U111)+V123</f>
        <v>5231.3599999999997</v>
      </c>
      <c r="N231" s="220"/>
      <c r="O231" s="221">
        <f>(0.5*U111)+V123</f>
        <v>3548.36</v>
      </c>
      <c r="P231" s="220"/>
      <c r="Q231" s="221">
        <f>U111+V123</f>
        <v>6914.36</v>
      </c>
      <c r="R231" s="103"/>
      <c r="S231" s="103"/>
      <c r="T231" s="103"/>
    </row>
    <row r="232" spans="9:20" ht="15.5" hidden="1" x14ac:dyDescent="0.35">
      <c r="I232" s="382" t="s">
        <v>189</v>
      </c>
      <c r="J232" s="223"/>
      <c r="K232" s="383">
        <f>K231*$S$108</f>
        <v>2820.5481200000004</v>
      </c>
      <c r="L232" s="230"/>
      <c r="M232" s="383">
        <f>M231*$S$108</f>
        <v>5451.0771199999999</v>
      </c>
      <c r="N232" s="230"/>
      <c r="O232" s="383">
        <f>O231*$S$108</f>
        <v>3697.3911200000002</v>
      </c>
      <c r="P232" s="230"/>
      <c r="Q232" s="383">
        <f>Q231*$S$108</f>
        <v>7204.7631199999996</v>
      </c>
      <c r="R232" s="103"/>
      <c r="S232" s="103"/>
      <c r="T232" s="103"/>
    </row>
    <row r="233" spans="9:20" ht="15.5" hidden="1" x14ac:dyDescent="0.35">
      <c r="I233" s="382" t="s">
        <v>190</v>
      </c>
      <c r="J233" s="223"/>
      <c r="K233" s="383">
        <f t="shared" ref="K233:K238" si="50">K232*$S$108</f>
        <v>2939.0111410400004</v>
      </c>
      <c r="L233" s="230"/>
      <c r="M233" s="383">
        <f t="shared" ref="M233:M238" si="51">M232*$S$108</f>
        <v>5680.0223590400001</v>
      </c>
      <c r="N233" s="230"/>
      <c r="O233" s="383">
        <f t="shared" ref="O233:O238" si="52">O232*$S$108</f>
        <v>3852.6815470400002</v>
      </c>
      <c r="P233" s="230"/>
      <c r="Q233" s="383">
        <f t="shared" ref="Q233:Q238" si="53">Q232*$S$108</f>
        <v>7507.3631710399995</v>
      </c>
      <c r="R233" s="103"/>
      <c r="S233" s="103"/>
      <c r="T233" s="103"/>
    </row>
    <row r="234" spans="9:20" ht="15.5" hidden="1" x14ac:dyDescent="0.35">
      <c r="I234" s="382" t="s">
        <v>191</v>
      </c>
      <c r="J234" s="223"/>
      <c r="K234" s="383">
        <f t="shared" si="50"/>
        <v>3062.4496089636805</v>
      </c>
      <c r="L234" s="230"/>
      <c r="M234" s="383">
        <f t="shared" si="51"/>
        <v>5918.58329811968</v>
      </c>
      <c r="N234" s="230"/>
      <c r="O234" s="383">
        <f t="shared" si="52"/>
        <v>4014.4941720156803</v>
      </c>
      <c r="P234" s="230"/>
      <c r="Q234" s="383">
        <f t="shared" si="53"/>
        <v>7822.6724242236796</v>
      </c>
      <c r="R234" s="103"/>
      <c r="S234" s="103"/>
      <c r="T234" s="103"/>
    </row>
    <row r="235" spans="9:20" ht="15.5" hidden="1" x14ac:dyDescent="0.35">
      <c r="I235" s="382" t="s">
        <v>192</v>
      </c>
      <c r="J235" s="223"/>
      <c r="K235" s="383">
        <f t="shared" si="50"/>
        <v>3191.0724925401551</v>
      </c>
      <c r="L235" s="230"/>
      <c r="M235" s="383">
        <f t="shared" si="51"/>
        <v>6167.163796640707</v>
      </c>
      <c r="N235" s="230"/>
      <c r="O235" s="383">
        <f t="shared" si="52"/>
        <v>4183.1029272403393</v>
      </c>
      <c r="P235" s="230"/>
      <c r="Q235" s="383">
        <f t="shared" si="53"/>
        <v>8151.2246660410747</v>
      </c>
      <c r="R235" s="103"/>
      <c r="S235" s="103"/>
      <c r="T235" s="103"/>
    </row>
    <row r="236" spans="9:20" ht="15.5" hidden="1" x14ac:dyDescent="0.35">
      <c r="I236" s="382" t="s">
        <v>223</v>
      </c>
      <c r="J236" s="223"/>
      <c r="K236" s="383">
        <f t="shared" si="50"/>
        <v>3325.0975372268417</v>
      </c>
      <c r="L236" s="230"/>
      <c r="M236" s="383">
        <f t="shared" si="51"/>
        <v>6426.1846760996168</v>
      </c>
      <c r="N236" s="230"/>
      <c r="O236" s="383">
        <f t="shared" si="52"/>
        <v>4358.7932501844334</v>
      </c>
      <c r="P236" s="230"/>
      <c r="Q236" s="383">
        <f t="shared" si="53"/>
        <v>8493.5761020148002</v>
      </c>
      <c r="R236" s="103"/>
      <c r="S236" s="103"/>
      <c r="T236" s="103"/>
    </row>
    <row r="237" spans="9:20" ht="15.5" hidden="1" x14ac:dyDescent="0.35">
      <c r="I237" s="382" t="s">
        <v>224</v>
      </c>
      <c r="J237" s="223"/>
      <c r="K237" s="383">
        <f t="shared" si="50"/>
        <v>3464.7516337903694</v>
      </c>
      <c r="L237" s="230"/>
      <c r="M237" s="383">
        <f>M236*$S$108</f>
        <v>6696.0844324958007</v>
      </c>
      <c r="N237" s="230"/>
      <c r="O237" s="383">
        <f t="shared" si="52"/>
        <v>4541.8625666921798</v>
      </c>
      <c r="P237" s="230"/>
      <c r="Q237" s="383">
        <f t="shared" si="53"/>
        <v>8850.3062982994215</v>
      </c>
      <c r="R237" s="103"/>
      <c r="S237" s="103"/>
      <c r="T237" s="103"/>
    </row>
    <row r="238" spans="9:20" ht="15.5" hidden="1" x14ac:dyDescent="0.35">
      <c r="I238" s="382" t="s">
        <v>225</v>
      </c>
      <c r="J238" s="223"/>
      <c r="K238" s="383">
        <f t="shared" si="50"/>
        <v>3610.2712024095649</v>
      </c>
      <c r="L238" s="230"/>
      <c r="M238" s="383">
        <f t="shared" si="51"/>
        <v>6977.3199786606247</v>
      </c>
      <c r="N238" s="230"/>
      <c r="O238" s="383">
        <f t="shared" si="52"/>
        <v>4732.6207944932512</v>
      </c>
      <c r="P238" s="230"/>
      <c r="Q238" s="383">
        <f t="shared" si="53"/>
        <v>9222.0191628279972</v>
      </c>
      <c r="R238" s="103"/>
      <c r="S238" s="103"/>
      <c r="T238" s="103"/>
    </row>
    <row r="239" spans="9:20" ht="15.5" hidden="1" x14ac:dyDescent="0.35">
      <c r="I239" s="219"/>
      <c r="J239" s="223"/>
      <c r="K239" s="222">
        <v>0</v>
      </c>
      <c r="L239" s="223"/>
      <c r="M239" s="224"/>
      <c r="N239" s="220"/>
      <c r="O239" s="222">
        <v>0</v>
      </c>
      <c r="P239" s="220"/>
      <c r="Q239" s="224"/>
      <c r="R239" s="103"/>
      <c r="S239" s="103"/>
      <c r="T239" s="103"/>
    </row>
    <row r="240" spans="9:20" ht="15.5" hidden="1" x14ac:dyDescent="0.35">
      <c r="I240" s="382" t="s">
        <v>194</v>
      </c>
      <c r="J240" s="223"/>
      <c r="K240" s="225">
        <f>(0.375*U111)+V123</f>
        <v>2706.86</v>
      </c>
      <c r="L240" s="220"/>
      <c r="M240" s="225">
        <f>(0.75*U111)+V123</f>
        <v>5231.3599999999997</v>
      </c>
      <c r="N240" s="220"/>
      <c r="O240" s="225">
        <f>(0.5*U111)+V123</f>
        <v>3548.36</v>
      </c>
      <c r="P240" s="220"/>
      <c r="Q240" s="225">
        <f>U111+V123</f>
        <v>6914.36</v>
      </c>
      <c r="R240" s="103"/>
      <c r="S240" s="103"/>
      <c r="T240" s="103"/>
    </row>
    <row r="241" spans="9:20" ht="15.5" hidden="1" x14ac:dyDescent="0.35">
      <c r="I241" s="382" t="s">
        <v>195</v>
      </c>
      <c r="J241" s="223"/>
      <c r="K241" s="383">
        <f>K240*$S$108</f>
        <v>2820.5481200000004</v>
      </c>
      <c r="L241" s="230"/>
      <c r="M241" s="383">
        <f>M240*$S$108</f>
        <v>5451.0771199999999</v>
      </c>
      <c r="N241" s="230"/>
      <c r="O241" s="383">
        <f>O240*$S$108</f>
        <v>3697.3911200000002</v>
      </c>
      <c r="P241" s="230"/>
      <c r="Q241" s="383">
        <f>Q240*$S$108</f>
        <v>7204.7631199999996</v>
      </c>
      <c r="R241" s="103"/>
      <c r="S241" s="103"/>
      <c r="T241" s="103"/>
    </row>
    <row r="242" spans="9:20" ht="15.5" hidden="1" x14ac:dyDescent="0.35">
      <c r="I242" s="382" t="s">
        <v>196</v>
      </c>
      <c r="J242" s="223"/>
      <c r="K242" s="383">
        <f t="shared" ref="K242:K247" si="54">K241*$S$108</f>
        <v>2939.0111410400004</v>
      </c>
      <c r="L242" s="230"/>
      <c r="M242" s="383">
        <f t="shared" ref="M242:M247" si="55">M241*$S$108</f>
        <v>5680.0223590400001</v>
      </c>
      <c r="N242" s="230"/>
      <c r="O242" s="383">
        <f t="shared" ref="O242:O247" si="56">O241*$S$108</f>
        <v>3852.6815470400002</v>
      </c>
      <c r="P242" s="230"/>
      <c r="Q242" s="383">
        <f t="shared" ref="Q242:Q247" si="57">Q241*$S$108</f>
        <v>7507.3631710399995</v>
      </c>
      <c r="R242" s="103"/>
      <c r="S242" s="103"/>
      <c r="T242" s="103"/>
    </row>
    <row r="243" spans="9:20" ht="15.5" hidden="1" x14ac:dyDescent="0.35">
      <c r="I243" s="382" t="s">
        <v>197</v>
      </c>
      <c r="J243" s="223"/>
      <c r="K243" s="383">
        <f t="shared" si="54"/>
        <v>3062.4496089636805</v>
      </c>
      <c r="L243" s="230"/>
      <c r="M243" s="383">
        <f t="shared" si="55"/>
        <v>5918.58329811968</v>
      </c>
      <c r="N243" s="230"/>
      <c r="O243" s="383">
        <f t="shared" si="56"/>
        <v>4014.4941720156803</v>
      </c>
      <c r="P243" s="230"/>
      <c r="Q243" s="383">
        <f t="shared" si="57"/>
        <v>7822.6724242236796</v>
      </c>
      <c r="R243" s="103"/>
      <c r="S243" s="103"/>
      <c r="T243" s="103"/>
    </row>
    <row r="244" spans="9:20" ht="15.5" hidden="1" x14ac:dyDescent="0.35">
      <c r="I244" s="382" t="s">
        <v>198</v>
      </c>
      <c r="J244" s="223"/>
      <c r="K244" s="383">
        <f t="shared" si="54"/>
        <v>3191.0724925401551</v>
      </c>
      <c r="L244" s="230"/>
      <c r="M244" s="383">
        <f t="shared" si="55"/>
        <v>6167.163796640707</v>
      </c>
      <c r="N244" s="230"/>
      <c r="O244" s="383">
        <f t="shared" si="56"/>
        <v>4183.1029272403393</v>
      </c>
      <c r="P244" s="230"/>
      <c r="Q244" s="383">
        <f t="shared" si="57"/>
        <v>8151.2246660410747</v>
      </c>
      <c r="R244" s="103"/>
      <c r="S244" s="103"/>
      <c r="T244" s="103"/>
    </row>
    <row r="245" spans="9:20" ht="15.5" hidden="1" x14ac:dyDescent="0.35">
      <c r="I245" s="382" t="s">
        <v>231</v>
      </c>
      <c r="J245" s="223"/>
      <c r="K245" s="383">
        <f t="shared" si="54"/>
        <v>3325.0975372268417</v>
      </c>
      <c r="L245" s="230"/>
      <c r="M245" s="383">
        <f t="shared" si="55"/>
        <v>6426.1846760996168</v>
      </c>
      <c r="N245" s="230"/>
      <c r="O245" s="383">
        <f t="shared" si="56"/>
        <v>4358.7932501844334</v>
      </c>
      <c r="P245" s="230"/>
      <c r="Q245" s="383">
        <f t="shared" si="57"/>
        <v>8493.5761020148002</v>
      </c>
      <c r="R245" s="103"/>
      <c r="S245" s="103"/>
      <c r="T245" s="103"/>
    </row>
    <row r="246" spans="9:20" ht="15.5" hidden="1" x14ac:dyDescent="0.35">
      <c r="I246" s="382" t="s">
        <v>233</v>
      </c>
      <c r="J246" s="223"/>
      <c r="K246" s="383">
        <f t="shared" si="54"/>
        <v>3464.7516337903694</v>
      </c>
      <c r="L246" s="230"/>
      <c r="M246" s="383">
        <f>M245*$S$108</f>
        <v>6696.0844324958007</v>
      </c>
      <c r="N246" s="230"/>
      <c r="O246" s="383">
        <f t="shared" si="56"/>
        <v>4541.8625666921798</v>
      </c>
      <c r="P246" s="230"/>
      <c r="Q246" s="383">
        <f t="shared" si="57"/>
        <v>8850.3062982994215</v>
      </c>
      <c r="R246" s="103"/>
      <c r="S246" s="103"/>
      <c r="T246" s="103"/>
    </row>
    <row r="247" spans="9:20" ht="15.5" hidden="1" x14ac:dyDescent="0.35">
      <c r="I247" s="382" t="s">
        <v>235</v>
      </c>
      <c r="J247" s="223"/>
      <c r="K247" s="383">
        <f t="shared" si="54"/>
        <v>3610.2712024095649</v>
      </c>
      <c r="L247" s="230"/>
      <c r="M247" s="383">
        <f t="shared" si="55"/>
        <v>6977.3199786606247</v>
      </c>
      <c r="N247" s="230"/>
      <c r="O247" s="383">
        <f t="shared" si="56"/>
        <v>4732.6207944932512</v>
      </c>
      <c r="P247" s="230"/>
      <c r="Q247" s="383">
        <f t="shared" si="57"/>
        <v>9222.0191628279972</v>
      </c>
      <c r="R247" s="103"/>
      <c r="S247" s="103"/>
      <c r="T247" s="103"/>
    </row>
    <row r="248" spans="9:20" ht="15.5" hidden="1" x14ac:dyDescent="0.35">
      <c r="I248" s="219"/>
      <c r="J248" s="223"/>
      <c r="K248" s="222">
        <v>0</v>
      </c>
      <c r="L248" s="223"/>
      <c r="M248" s="224"/>
      <c r="N248" s="220"/>
      <c r="O248" s="222">
        <v>0</v>
      </c>
      <c r="P248" s="220"/>
      <c r="Q248" s="224"/>
      <c r="R248" s="103"/>
      <c r="S248" s="103"/>
      <c r="T248" s="103"/>
    </row>
    <row r="249" spans="9:20" ht="15.5" hidden="1" x14ac:dyDescent="0.35">
      <c r="I249" s="382" t="s">
        <v>182</v>
      </c>
      <c r="J249" s="223"/>
      <c r="K249" s="226">
        <f>(0.375*U118)+W123</f>
        <v>1489.575</v>
      </c>
      <c r="L249" s="220"/>
      <c r="M249" s="226">
        <f>(0.75*U118)+W123</f>
        <v>2888.46</v>
      </c>
      <c r="N249" s="220"/>
      <c r="O249" s="226">
        <f>(0.5*U118)+W123</f>
        <v>1955.8700000000001</v>
      </c>
      <c r="P249" s="227"/>
      <c r="Q249" s="226">
        <f>U118+W123</f>
        <v>3821.05</v>
      </c>
      <c r="R249" s="103"/>
      <c r="S249" s="103"/>
      <c r="T249" s="103"/>
    </row>
    <row r="250" spans="9:20" ht="15.5" hidden="1" x14ac:dyDescent="0.35">
      <c r="I250" s="382" t="s">
        <v>183</v>
      </c>
      <c r="J250" s="223"/>
      <c r="K250" s="383">
        <f>K249*$S$108</f>
        <v>1552.13715</v>
      </c>
      <c r="L250" s="230"/>
      <c r="M250" s="383">
        <f>M249*$S$108</f>
        <v>3009.7753200000002</v>
      </c>
      <c r="N250" s="230"/>
      <c r="O250" s="383">
        <f>O249*$S$108</f>
        <v>2038.0165400000003</v>
      </c>
      <c r="P250" s="231"/>
      <c r="Q250" s="383">
        <f>Q249*$S$108</f>
        <v>3981.5341000000003</v>
      </c>
      <c r="R250" s="103"/>
      <c r="S250" s="103"/>
      <c r="T250" s="103"/>
    </row>
    <row r="251" spans="9:20" ht="15.5" hidden="1" x14ac:dyDescent="0.35">
      <c r="I251" s="382" t="s">
        <v>184</v>
      </c>
      <c r="J251" s="223"/>
      <c r="K251" s="383">
        <f t="shared" ref="K251:K256" si="58">K250*$S$108</f>
        <v>1617.3269103</v>
      </c>
      <c r="L251" s="230"/>
      <c r="M251" s="383">
        <f t="shared" ref="M251:M256" si="59">M250*$S$108</f>
        <v>3136.1858834400005</v>
      </c>
      <c r="N251" s="230"/>
      <c r="O251" s="383">
        <f t="shared" ref="O251:O256" si="60">O250*$S$108</f>
        <v>2123.6132346800005</v>
      </c>
      <c r="P251" s="231"/>
      <c r="Q251" s="383">
        <f t="shared" ref="Q251:Q256" si="61">Q250*$S$108</f>
        <v>4148.7585322000004</v>
      </c>
      <c r="R251" s="103"/>
      <c r="S251" s="103"/>
      <c r="T251" s="103"/>
    </row>
    <row r="252" spans="9:20" ht="15.5" hidden="1" x14ac:dyDescent="0.35">
      <c r="I252" s="382" t="s">
        <v>185</v>
      </c>
      <c r="J252" s="223"/>
      <c r="K252" s="383">
        <f t="shared" si="58"/>
        <v>1685.2546405326</v>
      </c>
      <c r="L252" s="230"/>
      <c r="M252" s="383">
        <f t="shared" si="59"/>
        <v>3267.9056905444804</v>
      </c>
      <c r="N252" s="230"/>
      <c r="O252" s="383">
        <f t="shared" si="60"/>
        <v>2212.8049905365606</v>
      </c>
      <c r="P252" s="231"/>
      <c r="Q252" s="383">
        <f t="shared" si="61"/>
        <v>4323.0063905524003</v>
      </c>
      <c r="R252" s="103"/>
      <c r="S252" s="103"/>
      <c r="T252" s="103"/>
    </row>
    <row r="253" spans="9:20" ht="15.5" hidden="1" x14ac:dyDescent="0.35">
      <c r="I253" s="382" t="s">
        <v>186</v>
      </c>
      <c r="J253" s="223"/>
      <c r="K253" s="383">
        <f t="shared" si="58"/>
        <v>1756.0353354349693</v>
      </c>
      <c r="L253" s="230"/>
      <c r="M253" s="383">
        <f t="shared" si="59"/>
        <v>3405.1577295473489</v>
      </c>
      <c r="N253" s="230"/>
      <c r="O253" s="383">
        <f t="shared" si="60"/>
        <v>2305.7428001390963</v>
      </c>
      <c r="P253" s="231"/>
      <c r="Q253" s="383">
        <f t="shared" si="61"/>
        <v>4504.5726589556016</v>
      </c>
      <c r="R253" s="103"/>
      <c r="S253" s="103"/>
      <c r="T253" s="103"/>
    </row>
    <row r="254" spans="9:20" ht="15.5" hidden="1" x14ac:dyDescent="0.35">
      <c r="I254" s="382" t="s">
        <v>242</v>
      </c>
      <c r="J254" s="223"/>
      <c r="K254" s="383">
        <f t="shared" si="58"/>
        <v>1829.7888195232381</v>
      </c>
      <c r="L254" s="230"/>
      <c r="M254" s="383">
        <f t="shared" si="59"/>
        <v>3548.1743541883379</v>
      </c>
      <c r="N254" s="230"/>
      <c r="O254" s="383">
        <f t="shared" si="60"/>
        <v>2402.5839977449386</v>
      </c>
      <c r="P254" s="231"/>
      <c r="Q254" s="383">
        <f t="shared" si="61"/>
        <v>4693.7647106317372</v>
      </c>
      <c r="R254" s="103"/>
      <c r="S254" s="103"/>
      <c r="T254" s="103"/>
    </row>
    <row r="255" spans="9:20" ht="15.5" hidden="1" x14ac:dyDescent="0.35">
      <c r="I255" s="382" t="s">
        <v>243</v>
      </c>
      <c r="J255" s="223"/>
      <c r="K255" s="383">
        <f t="shared" si="58"/>
        <v>1906.6399499432141</v>
      </c>
      <c r="L255" s="230"/>
      <c r="M255" s="383">
        <f t="shared" si="59"/>
        <v>3697.1976770642482</v>
      </c>
      <c r="N255" s="230"/>
      <c r="O255" s="383">
        <f t="shared" si="60"/>
        <v>2503.4925256502261</v>
      </c>
      <c r="P255" s="231"/>
      <c r="Q255" s="383">
        <f t="shared" si="61"/>
        <v>4890.9028284782707</v>
      </c>
      <c r="R255" s="103"/>
      <c r="S255" s="103"/>
      <c r="T255" s="103"/>
    </row>
    <row r="256" spans="9:20" ht="15.5" hidden="1" x14ac:dyDescent="0.35">
      <c r="I256" s="382" t="s">
        <v>244</v>
      </c>
      <c r="J256" s="229"/>
      <c r="K256" s="383">
        <f t="shared" si="58"/>
        <v>1986.7188278408291</v>
      </c>
      <c r="L256" s="230"/>
      <c r="M256" s="383">
        <f t="shared" si="59"/>
        <v>3852.4799795009467</v>
      </c>
      <c r="N256" s="230"/>
      <c r="O256" s="383">
        <f t="shared" si="60"/>
        <v>2608.6392117275354</v>
      </c>
      <c r="P256" s="231"/>
      <c r="Q256" s="383">
        <f t="shared" si="61"/>
        <v>5096.3207472743579</v>
      </c>
      <c r="R256" s="103"/>
      <c r="S256" s="103"/>
      <c r="T256" s="103"/>
    </row>
    <row r="257" spans="9:20" ht="15.5" hidden="1" x14ac:dyDescent="0.35">
      <c r="I257" s="219"/>
      <c r="J257" s="229"/>
      <c r="K257" s="222"/>
      <c r="L257" s="230"/>
      <c r="M257" s="222"/>
      <c r="N257" s="230"/>
      <c r="O257" s="222"/>
      <c r="P257" s="231"/>
      <c r="Q257" s="222"/>
      <c r="R257" s="103"/>
      <c r="S257" s="103"/>
      <c r="T257" s="103"/>
    </row>
  </sheetData>
  <sheetProtection algorithmName="SHA-512" hashValue="lHW2tmIUihhkL+SrXFyIBO/qW7dRJkjpxT5IabN5WHbIlgrXbJOAc/b0ISmi4ZBSKU4tecuRAN48oOtpNLxn3w==" saltValue="PAlQ7aSvoglqClzfs8pvYg==" spinCount="100000" sheet="1" selectLockedCells="1"/>
  <mergeCells count="68">
    <mergeCell ref="U121:W121"/>
    <mergeCell ref="A101:A105"/>
    <mergeCell ref="C101:D101"/>
    <mergeCell ref="C103:D103"/>
    <mergeCell ref="C105:D105"/>
    <mergeCell ref="C88:F88"/>
    <mergeCell ref="C89:F89"/>
    <mergeCell ref="C90:F90"/>
    <mergeCell ref="C93:H93"/>
    <mergeCell ref="A95:A99"/>
    <mergeCell ref="C95:D95"/>
    <mergeCell ref="C97:D97"/>
    <mergeCell ref="C99:D99"/>
    <mergeCell ref="G88:H88"/>
    <mergeCell ref="C31:H31"/>
    <mergeCell ref="C6:F6"/>
    <mergeCell ref="C7:F7"/>
    <mergeCell ref="C8:F8"/>
    <mergeCell ref="C67:F67"/>
    <mergeCell ref="G46:H46"/>
    <mergeCell ref="G26:H26"/>
    <mergeCell ref="G6:H6"/>
    <mergeCell ref="G67:H67"/>
    <mergeCell ref="C3:I3"/>
    <mergeCell ref="C11:H11"/>
    <mergeCell ref="C26:F26"/>
    <mergeCell ref="C27:F27"/>
    <mergeCell ref="C28:F28"/>
    <mergeCell ref="A59:A63"/>
    <mergeCell ref="C59:D59"/>
    <mergeCell ref="C61:D61"/>
    <mergeCell ref="C63:D63"/>
    <mergeCell ref="C46:F46"/>
    <mergeCell ref="A53:A57"/>
    <mergeCell ref="C53:D53"/>
    <mergeCell ref="C55:D55"/>
    <mergeCell ref="C57:D57"/>
    <mergeCell ref="C47:F47"/>
    <mergeCell ref="C48:F48"/>
    <mergeCell ref="C51:H51"/>
    <mergeCell ref="A13:A17"/>
    <mergeCell ref="C13:D13"/>
    <mergeCell ref="C15:D15"/>
    <mergeCell ref="C17:D17"/>
    <mergeCell ref="A19:A23"/>
    <mergeCell ref="C19:D19"/>
    <mergeCell ref="C21:D21"/>
    <mergeCell ref="C23:D23"/>
    <mergeCell ref="A39:A43"/>
    <mergeCell ref="C39:D39"/>
    <mergeCell ref="C41:D41"/>
    <mergeCell ref="C43:D43"/>
    <mergeCell ref="A33:A37"/>
    <mergeCell ref="C33:D33"/>
    <mergeCell ref="C35:D35"/>
    <mergeCell ref="C37:D37"/>
    <mergeCell ref="C68:F68"/>
    <mergeCell ref="C69:F69"/>
    <mergeCell ref="C72:H72"/>
    <mergeCell ref="A74:A78"/>
    <mergeCell ref="C74:D74"/>
    <mergeCell ref="C76:D76"/>
    <mergeCell ref="C78:D78"/>
    <mergeCell ref="A80:A84"/>
    <mergeCell ref="C80:D80"/>
    <mergeCell ref="C82:D82"/>
    <mergeCell ref="C84:D84"/>
    <mergeCell ref="A85:I86"/>
  </mergeCells>
  <phoneticPr fontId="66" type="noConversion"/>
  <dataValidations count="5">
    <dataValidation type="list" allowBlank="1" showInputMessage="1" showErrorMessage="1" sqref="K21 M21 O21 Q21 S21 K35 M35 O35 Q35 S35 K41 M41 O41 Q41 S41 K55 M55 O55 Q55 S55 K61 M61 O61 Q61 S61 K82 M82 O82 Q82 S82 K103 M103 O103 Q103 S103 K76 M76 O76 Q76 S76 K97 M97 O97 Q97 S97 K15 M15 O15 Q15 S15" xr:uid="{00000000-0002-0000-0300-000000000000}">
      <formula1>$I$111:$I$118</formula1>
    </dataValidation>
    <dataValidation type="list" allowBlank="1" showInputMessage="1" showErrorMessage="1" sqref="K19 M19 O19 Q19 S19 K39 M39 O39 Q39 S39 K59 M59 O59 Q59 S59 K101 M101 O101 Q101 S101 K95 M95 O95 Q95 S95 K74 M74 O74 Q74 S74 K80 M80 O80 Q80 S80 K53 M53 O53 Q53 S53 K33 M33 O33 Q33 S33 K13 M13 O13 Q13 S13" xr:uid="{00000000-0002-0000-0300-000001000000}">
      <formula1>$I$129:$I$136</formula1>
    </dataValidation>
    <dataValidation type="list" allowBlank="1" showInputMessage="1" showErrorMessage="1" sqref="K30 S92 M92 Q92 O92 K92 S50 M50 Q50 O50 K50 S30 Q10:Q11 M10:M11 M30 Q30 O30 K10:K11 S10:S11 O10:O11 S71 M71 Q71 O71 K71" xr:uid="{00000000-0002-0000-0300-000002000000}">
      <formula1>$I$120:$I$125</formula1>
    </dataValidation>
    <dataValidation type="list" allowBlank="1" showInputMessage="1" showErrorMessage="1" sqref="I67 I88 I46 I26 I6" xr:uid="{00000000-0002-0000-0300-000003000000}">
      <formula1>$S$109:$S$110</formula1>
    </dataValidation>
    <dataValidation type="list" allowBlank="1" showInputMessage="1" showErrorMessage="1" sqref="K23 K37 M37 S37 Q37 O37 M23 S23 Q23 O23 K43 K57 M57 S57 Q57 O57 M43 S43 Q43 O43 K63 K84 M84 S84 Q84 O84 M63 S63 Q63 O63 K105 K78 M78 S78 Q78 O78 M105 S105 Q105 O105 K99 M99 S99 Q99 O99 K17 M17 S17 Q17 O17" xr:uid="{00000000-0002-0000-0300-000005000000}">
      <formula1>$I$120:$I$127</formula1>
    </dataValidation>
  </dataValidations>
  <pageMargins left="0.25" right="0.25" top="1" bottom="1" header="0.5" footer="0.5"/>
  <pageSetup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O55"/>
  <sheetViews>
    <sheetView workbookViewId="0">
      <selection activeCell="L13" sqref="L13"/>
    </sheetView>
  </sheetViews>
  <sheetFormatPr defaultRowHeight="12.5" x14ac:dyDescent="0.25"/>
  <cols>
    <col min="1" max="1" width="4.81640625" bestFit="1" customWidth="1"/>
    <col min="2" max="2" width="29.26953125" customWidth="1"/>
    <col min="4" max="4" width="7.453125" bestFit="1" customWidth="1"/>
    <col min="5" max="5" width="7.81640625" bestFit="1" customWidth="1"/>
    <col min="6" max="6" width="8.1796875" bestFit="1" customWidth="1"/>
    <col min="7" max="7" width="8.26953125" bestFit="1" customWidth="1"/>
    <col min="8" max="8" width="6.54296875" bestFit="1" customWidth="1"/>
    <col min="9" max="9" width="8.1796875" bestFit="1" customWidth="1"/>
    <col min="10" max="10" width="5.81640625" bestFit="1" customWidth="1"/>
    <col min="11" max="11" width="13.81640625" bestFit="1" customWidth="1"/>
    <col min="12" max="12" width="11.54296875" bestFit="1" customWidth="1"/>
    <col min="13" max="13" width="7.81640625" bestFit="1" customWidth="1"/>
    <col min="14" max="14" width="3.1796875" customWidth="1"/>
  </cols>
  <sheetData>
    <row r="1" spans="1:15" ht="13" thickBot="1" x14ac:dyDescent="0.3"/>
    <row r="2" spans="1:15" ht="15.5" x14ac:dyDescent="0.35">
      <c r="A2" s="460" t="s">
        <v>252</v>
      </c>
      <c r="B2" s="461"/>
      <c r="C2" s="461"/>
      <c r="D2" s="461"/>
      <c r="E2" s="461"/>
      <c r="F2" s="461"/>
      <c r="G2" s="461"/>
      <c r="H2" s="461"/>
      <c r="I2" s="461"/>
      <c r="J2" s="461"/>
      <c r="K2" s="461"/>
      <c r="L2" s="461"/>
      <c r="M2" s="462"/>
    </row>
    <row r="3" spans="1:15" ht="16" thickBot="1" x14ac:dyDescent="0.4">
      <c r="A3" s="463" t="s">
        <v>253</v>
      </c>
      <c r="B3" s="464"/>
      <c r="C3" s="464"/>
      <c r="D3" s="464"/>
      <c r="E3" s="464"/>
      <c r="F3" s="464"/>
      <c r="G3" s="464"/>
      <c r="H3" s="464"/>
      <c r="I3" s="464"/>
      <c r="J3" s="464"/>
      <c r="K3" s="464"/>
      <c r="L3" s="464"/>
      <c r="M3" s="465"/>
    </row>
    <row r="4" spans="1:15" ht="13" thickBot="1" x14ac:dyDescent="0.3"/>
    <row r="5" spans="1:15" ht="15" thickTop="1" thickBot="1" x14ac:dyDescent="0.3">
      <c r="A5" s="466" t="s">
        <v>254</v>
      </c>
      <c r="B5" s="467"/>
      <c r="C5" s="467"/>
      <c r="D5" s="467"/>
      <c r="E5" s="467"/>
      <c r="F5" s="467"/>
      <c r="G5" s="467"/>
      <c r="H5" s="467"/>
      <c r="I5" s="467"/>
      <c r="J5" s="467"/>
      <c r="K5" s="467"/>
      <c r="L5" s="467"/>
      <c r="M5" s="467"/>
    </row>
    <row r="6" spans="1:15" ht="15" thickTop="1" thickBot="1" x14ac:dyDescent="0.3">
      <c r="A6" s="264"/>
      <c r="B6" s="265"/>
      <c r="C6" s="265"/>
      <c r="D6" s="265"/>
      <c r="E6" s="468" t="s">
        <v>255</v>
      </c>
      <c r="F6" s="468"/>
      <c r="G6" s="468"/>
      <c r="H6" s="468" t="s">
        <v>256</v>
      </c>
      <c r="I6" s="468"/>
      <c r="J6" s="468"/>
      <c r="K6" s="265"/>
      <c r="L6" s="265"/>
      <c r="M6" s="265"/>
    </row>
    <row r="7" spans="1:15" ht="43" thickTop="1" thickBot="1" x14ac:dyDescent="0.3">
      <c r="A7" s="408" t="s">
        <v>227</v>
      </c>
      <c r="B7" s="409" t="s">
        <v>257</v>
      </c>
      <c r="C7" s="409" t="s">
        <v>258</v>
      </c>
      <c r="D7" s="331" t="s">
        <v>259</v>
      </c>
      <c r="E7" s="409" t="s">
        <v>260</v>
      </c>
      <c r="F7" s="409" t="s">
        <v>261</v>
      </c>
      <c r="G7" s="332" t="s">
        <v>262</v>
      </c>
      <c r="H7" s="409" t="s">
        <v>263</v>
      </c>
      <c r="I7" s="409" t="s">
        <v>264</v>
      </c>
      <c r="J7" s="332" t="s">
        <v>265</v>
      </c>
      <c r="K7" s="409" t="s">
        <v>266</v>
      </c>
      <c r="L7" s="331" t="s">
        <v>267</v>
      </c>
      <c r="M7" s="333" t="s">
        <v>268</v>
      </c>
      <c r="O7" s="262"/>
    </row>
    <row r="8" spans="1:15" ht="14" customHeight="1" thickTop="1" x14ac:dyDescent="0.25">
      <c r="A8" s="269">
        <v>1</v>
      </c>
      <c r="B8" s="270" t="s">
        <v>277</v>
      </c>
      <c r="C8" s="266">
        <v>2</v>
      </c>
      <c r="D8" s="267">
        <v>500</v>
      </c>
      <c r="E8" s="266">
        <v>2</v>
      </c>
      <c r="F8" s="271">
        <v>150</v>
      </c>
      <c r="G8" s="268">
        <f>ROUND(+E8*F8,)</f>
        <v>300</v>
      </c>
      <c r="H8" s="266">
        <f>E8+1</f>
        <v>3</v>
      </c>
      <c r="I8" s="267">
        <v>40</v>
      </c>
      <c r="J8" s="268">
        <f>+H8*I8</f>
        <v>120</v>
      </c>
      <c r="K8" s="267">
        <v>0</v>
      </c>
      <c r="L8" s="267">
        <v>500</v>
      </c>
      <c r="M8" s="272">
        <f>ROUND(C8*SUM(D8,G8,J8,L8,K8),)</f>
        <v>2840</v>
      </c>
      <c r="O8" s="376"/>
    </row>
    <row r="9" spans="1:15" ht="14" customHeight="1" x14ac:dyDescent="0.25">
      <c r="A9" s="273">
        <v>1</v>
      </c>
      <c r="B9" s="274" t="s">
        <v>278</v>
      </c>
      <c r="C9" s="275">
        <v>2</v>
      </c>
      <c r="D9" s="276">
        <v>0</v>
      </c>
      <c r="E9" s="275">
        <v>1</v>
      </c>
      <c r="F9" s="276">
        <v>125</v>
      </c>
      <c r="G9" s="334">
        <f>ROUND(+E9*F9,)</f>
        <v>125</v>
      </c>
      <c r="H9" s="275">
        <f>+E9+1</f>
        <v>2</v>
      </c>
      <c r="I9" s="276">
        <v>40</v>
      </c>
      <c r="J9" s="277">
        <f>+H9*I9</f>
        <v>80</v>
      </c>
      <c r="K9" s="276">
        <f>400*0.58</f>
        <v>231.99999999999997</v>
      </c>
      <c r="L9" s="276">
        <v>0</v>
      </c>
      <c r="M9" s="278">
        <f>ROUND(C9*SUM(D9,G9,J9,L9,K9),)</f>
        <v>874</v>
      </c>
    </row>
    <row r="10" spans="1:15" ht="14" x14ac:dyDescent="0.25">
      <c r="A10" s="273">
        <v>1</v>
      </c>
      <c r="B10" s="274"/>
      <c r="C10" s="275">
        <v>0</v>
      </c>
      <c r="D10" s="276">
        <v>0</v>
      </c>
      <c r="E10" s="275">
        <v>0</v>
      </c>
      <c r="F10" s="276">
        <v>0</v>
      </c>
      <c r="G10" s="334">
        <f>ROUND(+E10*F10,)</f>
        <v>0</v>
      </c>
      <c r="H10" s="275">
        <f>+E10+1</f>
        <v>1</v>
      </c>
      <c r="I10" s="276">
        <v>40</v>
      </c>
      <c r="J10" s="277">
        <f>+H10*I10</f>
        <v>40</v>
      </c>
      <c r="K10" s="276">
        <v>0</v>
      </c>
      <c r="L10" s="276">
        <v>0</v>
      </c>
      <c r="M10" s="278">
        <f>C10*SUM(D10,G10,J10,L10,K10)</f>
        <v>0</v>
      </c>
    </row>
    <row r="11" spans="1:15" ht="14.5" thickBot="1" x14ac:dyDescent="0.3">
      <c r="A11" s="324"/>
      <c r="B11" s="325"/>
      <c r="C11" s="326"/>
      <c r="D11" s="327"/>
      <c r="E11" s="326"/>
      <c r="F11" s="327"/>
      <c r="G11" s="328"/>
      <c r="H11" s="326"/>
      <c r="I11" s="327"/>
      <c r="J11" s="328"/>
      <c r="K11" s="327"/>
      <c r="L11" s="329" t="s">
        <v>269</v>
      </c>
      <c r="M11" s="330">
        <f>ROUND(SUM(M8:M10),0)</f>
        <v>3714</v>
      </c>
    </row>
    <row r="12" spans="1:15" ht="15" thickTop="1" thickBot="1" x14ac:dyDescent="0.3">
      <c r="A12" s="269">
        <v>2</v>
      </c>
      <c r="B12" s="270" t="s">
        <v>277</v>
      </c>
      <c r="C12" s="266">
        <v>2</v>
      </c>
      <c r="D12" s="267">
        <f>ROUND(+D8*1.03,)</f>
        <v>515</v>
      </c>
      <c r="E12" s="266">
        <v>2</v>
      </c>
      <c r="F12" s="271">
        <f>ROUND(+F8*1.03,)</f>
        <v>155</v>
      </c>
      <c r="G12" s="268">
        <f>ROUND(+E12*F12,)</f>
        <v>310</v>
      </c>
      <c r="H12" s="275">
        <f>+E12+1</f>
        <v>3</v>
      </c>
      <c r="I12" s="267">
        <v>40</v>
      </c>
      <c r="J12" s="268">
        <f>+H12*I12</f>
        <v>120</v>
      </c>
      <c r="K12" s="267">
        <v>0</v>
      </c>
      <c r="L12" s="267">
        <v>500</v>
      </c>
      <c r="M12" s="272">
        <f>ROUND(C12*SUM(D12,G12,J12,L12,K12),)</f>
        <v>2890</v>
      </c>
    </row>
    <row r="13" spans="1:15" ht="14.5" thickTop="1" x14ac:dyDescent="0.25">
      <c r="A13" s="273">
        <v>2</v>
      </c>
      <c r="B13" s="274" t="s">
        <v>278</v>
      </c>
      <c r="C13" s="275">
        <v>2</v>
      </c>
      <c r="D13" s="276">
        <f>ROUND(+D9*1.03,)</f>
        <v>0</v>
      </c>
      <c r="E13" s="275">
        <v>1</v>
      </c>
      <c r="F13" s="276">
        <f>ROUND(+F9*1.03,)</f>
        <v>129</v>
      </c>
      <c r="G13" s="277">
        <f>ROUND(+E13*F13,)</f>
        <v>129</v>
      </c>
      <c r="H13" s="275">
        <f>+E13+1</f>
        <v>2</v>
      </c>
      <c r="I13" s="276">
        <v>40</v>
      </c>
      <c r="J13" s="277">
        <f>+H13*I13</f>
        <v>80</v>
      </c>
      <c r="K13" s="267">
        <f>ROUND(+K9*1.03,)</f>
        <v>239</v>
      </c>
      <c r="L13" s="276">
        <v>0</v>
      </c>
      <c r="M13" s="278">
        <f>ROUND(C13*SUM(D13,G13,J13,L13,K13),)</f>
        <v>896</v>
      </c>
    </row>
    <row r="14" spans="1:15" ht="14" x14ac:dyDescent="0.25">
      <c r="A14" s="279">
        <v>2</v>
      </c>
      <c r="B14" s="280"/>
      <c r="C14" s="281">
        <v>0</v>
      </c>
      <c r="D14" s="282">
        <f>ROUND(+D10*1.03,)</f>
        <v>0</v>
      </c>
      <c r="E14" s="281">
        <v>0</v>
      </c>
      <c r="F14" s="282">
        <f>ROUND(+F10*1.03,)</f>
        <v>0</v>
      </c>
      <c r="G14" s="283">
        <f>ROUND(+E14*F14,)</f>
        <v>0</v>
      </c>
      <c r="H14" s="281">
        <f>+E14+1</f>
        <v>1</v>
      </c>
      <c r="I14" s="282">
        <v>40</v>
      </c>
      <c r="J14" s="283">
        <f>+H14*I14</f>
        <v>40</v>
      </c>
      <c r="K14" s="282">
        <v>0</v>
      </c>
      <c r="L14" s="282">
        <v>0</v>
      </c>
      <c r="M14" s="284">
        <f>ROUND(C14*SUM(D14,G14,J14,L14,K14),)</f>
        <v>0</v>
      </c>
    </row>
    <row r="15" spans="1:15" ht="14.5" thickBot="1" x14ac:dyDescent="0.3">
      <c r="A15" s="285"/>
      <c r="B15" s="286"/>
      <c r="C15" s="287"/>
      <c r="D15" s="288"/>
      <c r="E15" s="287"/>
      <c r="F15" s="288"/>
      <c r="G15" s="289"/>
      <c r="H15" s="287"/>
      <c r="I15" s="288"/>
      <c r="J15" s="289"/>
      <c r="K15" s="288"/>
      <c r="L15" s="290" t="s">
        <v>270</v>
      </c>
      <c r="M15" s="291">
        <f>ROUND(SUM(M12:M14),0)</f>
        <v>3786</v>
      </c>
    </row>
    <row r="16" spans="1:15" ht="14.5" thickTop="1" x14ac:dyDescent="0.25">
      <c r="A16" s="269">
        <v>3</v>
      </c>
      <c r="B16" s="270"/>
      <c r="C16" s="266">
        <v>0</v>
      </c>
      <c r="D16" s="267">
        <f>ROUND(+D12*1.03,)</f>
        <v>530</v>
      </c>
      <c r="E16" s="266">
        <v>0</v>
      </c>
      <c r="F16" s="267">
        <f>ROUND(+F12*1.03,)</f>
        <v>160</v>
      </c>
      <c r="G16" s="268">
        <f>ROUND(+E16*F16,)</f>
        <v>0</v>
      </c>
      <c r="H16" s="266">
        <f>+E16+1</f>
        <v>1</v>
      </c>
      <c r="I16" s="267">
        <v>40</v>
      </c>
      <c r="J16" s="268">
        <f>+H16*I16</f>
        <v>40</v>
      </c>
      <c r="K16" s="267">
        <v>0</v>
      </c>
      <c r="L16" s="267">
        <v>0</v>
      </c>
      <c r="M16" s="272">
        <f>ROUND(C16*SUM(D16,G16,J16,L16,K16),)</f>
        <v>0</v>
      </c>
    </row>
    <row r="17" spans="1:13" ht="14" x14ac:dyDescent="0.25">
      <c r="A17" s="273">
        <v>3</v>
      </c>
      <c r="B17" s="274"/>
      <c r="C17" s="275">
        <v>0</v>
      </c>
      <c r="D17" s="276">
        <f>ROUND(+D13*1.03,)</f>
        <v>0</v>
      </c>
      <c r="E17" s="275">
        <v>0</v>
      </c>
      <c r="F17" s="276">
        <f>ROUND(+F13*1.03,)</f>
        <v>133</v>
      </c>
      <c r="G17" s="277">
        <f>ROUND(+E17*F17,)</f>
        <v>0</v>
      </c>
      <c r="H17" s="275">
        <f>+E17+1</f>
        <v>1</v>
      </c>
      <c r="I17" s="276">
        <v>40</v>
      </c>
      <c r="J17" s="277">
        <f>+H17*I17</f>
        <v>40</v>
      </c>
      <c r="K17" s="276">
        <v>0</v>
      </c>
      <c r="L17" s="276">
        <v>0</v>
      </c>
      <c r="M17" s="278">
        <f>ROUND(C17*SUM(D17,G17,J17,L17,K17),)</f>
        <v>0</v>
      </c>
    </row>
    <row r="18" spans="1:13" ht="14" x14ac:dyDescent="0.25">
      <c r="A18" s="279">
        <v>3</v>
      </c>
      <c r="B18" s="280"/>
      <c r="C18" s="281">
        <v>0</v>
      </c>
      <c r="D18" s="282">
        <f>ROUND(+D14*1.03,)</f>
        <v>0</v>
      </c>
      <c r="E18" s="281">
        <v>0</v>
      </c>
      <c r="F18" s="282">
        <f>ROUND(+F14*1.03,)</f>
        <v>0</v>
      </c>
      <c r="G18" s="283">
        <f>ROUND(+E18*F18,)</f>
        <v>0</v>
      </c>
      <c r="H18" s="281">
        <f>+E18+1</f>
        <v>1</v>
      </c>
      <c r="I18" s="282">
        <v>40</v>
      </c>
      <c r="J18" s="283">
        <f>+H18*I18</f>
        <v>40</v>
      </c>
      <c r="K18" s="282">
        <v>0</v>
      </c>
      <c r="L18" s="282">
        <v>0</v>
      </c>
      <c r="M18" s="284">
        <f>ROUND(C18*SUM(D18,G18,J18,L18,K18),)</f>
        <v>0</v>
      </c>
    </row>
    <row r="19" spans="1:13" ht="14.5" thickBot="1" x14ac:dyDescent="0.3">
      <c r="A19" s="292"/>
      <c r="B19" s="293"/>
      <c r="C19" s="294"/>
      <c r="D19" s="295"/>
      <c r="E19" s="294"/>
      <c r="F19" s="295"/>
      <c r="G19" s="296"/>
      <c r="H19" s="294"/>
      <c r="I19" s="295"/>
      <c r="J19" s="296"/>
      <c r="K19" s="322"/>
      <c r="L19" s="297" t="s">
        <v>271</v>
      </c>
      <c r="M19" s="298">
        <f>ROUND(SUM(M16:M18),0)</f>
        <v>0</v>
      </c>
    </row>
    <row r="20" spans="1:13" ht="14.5" thickTop="1" x14ac:dyDescent="0.25">
      <c r="A20" s="299">
        <v>4</v>
      </c>
      <c r="B20" s="300"/>
      <c r="C20" s="301">
        <v>0</v>
      </c>
      <c r="D20" s="302">
        <f>ROUND(+D16*1.03,)</f>
        <v>546</v>
      </c>
      <c r="E20" s="301">
        <v>0</v>
      </c>
      <c r="F20" s="302">
        <f>ROUND(+F16*1.03,)</f>
        <v>165</v>
      </c>
      <c r="G20" s="303">
        <f>ROUND(+E20*F20,)</f>
        <v>0</v>
      </c>
      <c r="H20" s="304">
        <f>+E20+1</f>
        <v>1</v>
      </c>
      <c r="I20" s="302">
        <v>40</v>
      </c>
      <c r="J20" s="320">
        <f>+H20*I20</f>
        <v>40</v>
      </c>
      <c r="K20" s="320">
        <v>0</v>
      </c>
      <c r="L20" s="320">
        <v>0</v>
      </c>
      <c r="M20" s="305">
        <f>ROUND(C20*SUM(D20,G20,J20,L20,K20),)</f>
        <v>0</v>
      </c>
    </row>
    <row r="21" spans="1:13" ht="14" x14ac:dyDescent="0.25">
      <c r="A21" s="273">
        <v>4</v>
      </c>
      <c r="B21" s="274"/>
      <c r="C21" s="275">
        <v>0</v>
      </c>
      <c r="D21" s="276">
        <f>ROUND(+D17*1.03,)</f>
        <v>0</v>
      </c>
      <c r="E21" s="275">
        <v>0</v>
      </c>
      <c r="F21" s="276">
        <f>ROUND(+F17*1.03,)</f>
        <v>137</v>
      </c>
      <c r="G21" s="277">
        <f>ROUND(+E21*F21,)</f>
        <v>0</v>
      </c>
      <c r="H21" s="275">
        <f>+E21+1</f>
        <v>1</v>
      </c>
      <c r="I21" s="276">
        <v>40</v>
      </c>
      <c r="J21" s="321">
        <f>+H21*I21</f>
        <v>40</v>
      </c>
      <c r="K21" s="321">
        <v>0</v>
      </c>
      <c r="L21" s="321">
        <v>0</v>
      </c>
      <c r="M21" s="278">
        <f>ROUND(C21*SUM(D21,G21,J21,L21,K21),)</f>
        <v>0</v>
      </c>
    </row>
    <row r="22" spans="1:13" ht="14" x14ac:dyDescent="0.25">
      <c r="A22" s="279">
        <v>4</v>
      </c>
      <c r="B22" s="280"/>
      <c r="C22" s="281">
        <v>0</v>
      </c>
      <c r="D22" s="282">
        <f>ROUND(+D18*1.03,)</f>
        <v>0</v>
      </c>
      <c r="E22" s="281">
        <v>0</v>
      </c>
      <c r="F22" s="282">
        <f>ROUND(+F18*1.03,)</f>
        <v>0</v>
      </c>
      <c r="G22" s="283">
        <f>ROUND(+E22*F22,)</f>
        <v>0</v>
      </c>
      <c r="H22" s="281">
        <f>+E22+1</f>
        <v>1</v>
      </c>
      <c r="I22" s="282">
        <v>40</v>
      </c>
      <c r="J22" s="283">
        <f>+H22*I22</f>
        <v>40</v>
      </c>
      <c r="K22" s="323">
        <v>0</v>
      </c>
      <c r="L22" s="282">
        <v>0</v>
      </c>
      <c r="M22" s="284">
        <f>ROUND(C22*SUM(D22,G22,J22,L22,K22),)</f>
        <v>0</v>
      </c>
    </row>
    <row r="23" spans="1:13" ht="14.5" thickBot="1" x14ac:dyDescent="0.3">
      <c r="A23" s="306"/>
      <c r="B23" s="307"/>
      <c r="C23" s="308"/>
      <c r="D23" s="309"/>
      <c r="E23" s="308"/>
      <c r="F23" s="309"/>
      <c r="G23" s="310"/>
      <c r="H23" s="308"/>
      <c r="I23" s="309"/>
      <c r="J23" s="310"/>
      <c r="K23" s="309"/>
      <c r="L23" s="311" t="s">
        <v>272</v>
      </c>
      <c r="M23" s="312">
        <f>ROUND(SUM(M20:M22),0)</f>
        <v>0</v>
      </c>
    </row>
    <row r="24" spans="1:13" ht="14.5" thickTop="1" x14ac:dyDescent="0.25">
      <c r="A24" s="269">
        <v>5</v>
      </c>
      <c r="B24" s="270"/>
      <c r="C24" s="266">
        <v>0</v>
      </c>
      <c r="D24" s="267">
        <f>ROUND(+D20*1.03,)</f>
        <v>562</v>
      </c>
      <c r="E24" s="266">
        <v>0</v>
      </c>
      <c r="F24" s="267">
        <f>ROUND(+F20*1.03,)</f>
        <v>170</v>
      </c>
      <c r="G24" s="268">
        <f>ROUND(+E24*F24,)</f>
        <v>0</v>
      </c>
      <c r="H24" s="266">
        <f>+E24+1</f>
        <v>1</v>
      </c>
      <c r="I24" s="267">
        <v>40</v>
      </c>
      <c r="J24" s="268">
        <f>+H24*I24</f>
        <v>40</v>
      </c>
      <c r="K24" s="267">
        <v>0</v>
      </c>
      <c r="L24" s="267">
        <v>0</v>
      </c>
      <c r="M24" s="272">
        <f>ROUND(C24*SUM(D24,G24,J24,L24,K24),)</f>
        <v>0</v>
      </c>
    </row>
    <row r="25" spans="1:13" ht="14" x14ac:dyDescent="0.25">
      <c r="A25" s="273">
        <v>5</v>
      </c>
      <c r="B25" s="274"/>
      <c r="C25" s="275">
        <v>0</v>
      </c>
      <c r="D25" s="276">
        <f>ROUND(+D21*1.03,)</f>
        <v>0</v>
      </c>
      <c r="E25" s="275">
        <v>0</v>
      </c>
      <c r="F25" s="276">
        <f>ROUND(+F21*1.03,)</f>
        <v>141</v>
      </c>
      <c r="G25" s="277">
        <f>ROUND(+E25*F25,)</f>
        <v>0</v>
      </c>
      <c r="H25" s="275">
        <f>+E25+1</f>
        <v>1</v>
      </c>
      <c r="I25" s="276">
        <v>40</v>
      </c>
      <c r="J25" s="277">
        <f>+H25*I25</f>
        <v>40</v>
      </c>
      <c r="K25" s="276">
        <v>0</v>
      </c>
      <c r="L25" s="276">
        <v>0</v>
      </c>
      <c r="M25" s="278">
        <f>ROUND(C25*SUM(D25,G25,J25,L25,K25),)</f>
        <v>0</v>
      </c>
    </row>
    <row r="26" spans="1:13" ht="14" x14ac:dyDescent="0.25">
      <c r="A26" s="279">
        <v>5</v>
      </c>
      <c r="B26" s="280"/>
      <c r="C26" s="281">
        <v>0</v>
      </c>
      <c r="D26" s="282">
        <f>ROUND(+D22*1.03,)</f>
        <v>0</v>
      </c>
      <c r="E26" s="281">
        <v>0</v>
      </c>
      <c r="F26" s="282">
        <f>ROUND(+F22*1.03,)</f>
        <v>0</v>
      </c>
      <c r="G26" s="283">
        <f>ROUND(+E26*F26,)</f>
        <v>0</v>
      </c>
      <c r="H26" s="281">
        <f>+E26+1</f>
        <v>1</v>
      </c>
      <c r="I26" s="282">
        <v>40</v>
      </c>
      <c r="J26" s="283">
        <f>+H26*I26</f>
        <v>40</v>
      </c>
      <c r="K26" s="282">
        <v>0</v>
      </c>
      <c r="L26" s="282">
        <v>0</v>
      </c>
      <c r="M26" s="284">
        <f>ROUND(C26*SUM(D26,G26,J26,L26,K26),)</f>
        <v>0</v>
      </c>
    </row>
    <row r="27" spans="1:13" ht="14.5" thickBot="1" x14ac:dyDescent="0.3">
      <c r="A27" s="313"/>
      <c r="B27" s="314"/>
      <c r="C27" s="315"/>
      <c r="D27" s="316"/>
      <c r="E27" s="315"/>
      <c r="F27" s="315"/>
      <c r="G27" s="316"/>
      <c r="H27" s="315"/>
      <c r="I27" s="317"/>
      <c r="J27" s="317"/>
      <c r="K27" s="317"/>
      <c r="L27" s="318" t="s">
        <v>273</v>
      </c>
      <c r="M27" s="319">
        <f>ROUND(SUM(M24:M26),0)</f>
        <v>0</v>
      </c>
    </row>
    <row r="28" spans="1:13" ht="13" thickTop="1" x14ac:dyDescent="0.25"/>
    <row r="29" spans="1:13" ht="13" thickBot="1" x14ac:dyDescent="0.3"/>
    <row r="30" spans="1:13" ht="16" thickBot="1" x14ac:dyDescent="0.4">
      <c r="A30" s="457" t="s">
        <v>274</v>
      </c>
      <c r="B30" s="458"/>
      <c r="C30" s="458"/>
      <c r="D30" s="458"/>
      <c r="E30" s="458"/>
      <c r="F30" s="458"/>
      <c r="G30" s="458"/>
      <c r="H30" s="458"/>
      <c r="I30" s="458"/>
      <c r="J30" s="458"/>
      <c r="K30" s="458"/>
      <c r="L30" s="458"/>
      <c r="M30" s="459"/>
    </row>
    <row r="31" spans="1:13" ht="13" thickBot="1" x14ac:dyDescent="0.3"/>
    <row r="32" spans="1:13" ht="15" thickTop="1" thickBot="1" x14ac:dyDescent="0.3">
      <c r="A32" s="454" t="s">
        <v>275</v>
      </c>
      <c r="B32" s="455"/>
      <c r="C32" s="455"/>
      <c r="D32" s="455"/>
      <c r="E32" s="455"/>
      <c r="F32" s="455"/>
      <c r="G32" s="455"/>
      <c r="H32" s="455"/>
      <c r="I32" s="455"/>
      <c r="J32" s="455"/>
      <c r="K32" s="455"/>
      <c r="L32" s="455"/>
      <c r="M32" s="455"/>
    </row>
    <row r="33" spans="1:13" ht="15" thickTop="1" thickBot="1" x14ac:dyDescent="0.3">
      <c r="A33" s="335"/>
      <c r="B33" s="336"/>
      <c r="C33" s="336"/>
      <c r="D33" s="336"/>
      <c r="E33" s="456" t="s">
        <v>255</v>
      </c>
      <c r="F33" s="456"/>
      <c r="G33" s="456"/>
      <c r="H33" s="456" t="s">
        <v>256</v>
      </c>
      <c r="I33" s="456"/>
      <c r="J33" s="456"/>
      <c r="K33" s="336"/>
      <c r="L33" s="336"/>
      <c r="M33" s="336"/>
    </row>
    <row r="34" spans="1:13" ht="43" thickTop="1" thickBot="1" x14ac:dyDescent="0.3">
      <c r="A34" s="406" t="s">
        <v>227</v>
      </c>
      <c r="B34" s="407" t="s">
        <v>257</v>
      </c>
      <c r="C34" s="407" t="s">
        <v>258</v>
      </c>
      <c r="D34" s="337" t="s">
        <v>259</v>
      </c>
      <c r="E34" s="407" t="s">
        <v>260</v>
      </c>
      <c r="F34" s="407" t="s">
        <v>261</v>
      </c>
      <c r="G34" s="338" t="s">
        <v>262</v>
      </c>
      <c r="H34" s="407" t="s">
        <v>263</v>
      </c>
      <c r="I34" s="407" t="s">
        <v>264</v>
      </c>
      <c r="J34" s="338" t="s">
        <v>265</v>
      </c>
      <c r="K34" s="407" t="s">
        <v>266</v>
      </c>
      <c r="L34" s="337" t="s">
        <v>267</v>
      </c>
      <c r="M34" s="339" t="s">
        <v>268</v>
      </c>
    </row>
    <row r="35" spans="1:13" ht="14.5" thickTop="1" x14ac:dyDescent="0.25">
      <c r="A35" s="269">
        <v>1</v>
      </c>
      <c r="B35" s="270"/>
      <c r="C35" s="266">
        <v>0</v>
      </c>
      <c r="D35" s="267">
        <v>0</v>
      </c>
      <c r="E35" s="266">
        <v>0</v>
      </c>
      <c r="F35" s="271">
        <v>0</v>
      </c>
      <c r="G35" s="268">
        <f>ROUND(+E35*F35,)</f>
        <v>0</v>
      </c>
      <c r="H35" s="266">
        <f>+E35+1</f>
        <v>1</v>
      </c>
      <c r="I35" s="267">
        <v>40</v>
      </c>
      <c r="J35" s="268">
        <f>+H35*I35</f>
        <v>40</v>
      </c>
      <c r="K35" s="267">
        <v>0</v>
      </c>
      <c r="L35" s="267">
        <v>0</v>
      </c>
      <c r="M35" s="272">
        <f>ROUND(C35*SUM(D35,G35,J35,L35,K35),)</f>
        <v>0</v>
      </c>
    </row>
    <row r="36" spans="1:13" ht="14" x14ac:dyDescent="0.25">
      <c r="A36" s="273">
        <v>1</v>
      </c>
      <c r="B36" s="274"/>
      <c r="C36" s="275">
        <v>0</v>
      </c>
      <c r="D36" s="276">
        <v>0</v>
      </c>
      <c r="E36" s="275">
        <v>0</v>
      </c>
      <c r="F36" s="276">
        <v>0</v>
      </c>
      <c r="G36" s="334">
        <f>ROUND(+E36*F36,)</f>
        <v>0</v>
      </c>
      <c r="H36" s="275">
        <f>+E36+1</f>
        <v>1</v>
      </c>
      <c r="I36" s="276">
        <v>40</v>
      </c>
      <c r="J36" s="277">
        <f>+H36*I36</f>
        <v>40</v>
      </c>
      <c r="K36" s="276">
        <v>0</v>
      </c>
      <c r="L36" s="276">
        <v>0</v>
      </c>
      <c r="M36" s="278">
        <f>ROUND(C36*SUM(D36,G36,J36,L36,K36),)</f>
        <v>0</v>
      </c>
    </row>
    <row r="37" spans="1:13" ht="14" x14ac:dyDescent="0.25">
      <c r="A37" s="273">
        <v>1</v>
      </c>
      <c r="B37" s="274"/>
      <c r="C37" s="275">
        <v>0</v>
      </c>
      <c r="D37" s="276">
        <v>0</v>
      </c>
      <c r="E37" s="275">
        <v>0</v>
      </c>
      <c r="F37" s="276">
        <v>0</v>
      </c>
      <c r="G37" s="334">
        <f>ROUND(+E37*F37,)</f>
        <v>0</v>
      </c>
      <c r="H37" s="275">
        <f>+E37+1</f>
        <v>1</v>
      </c>
      <c r="I37" s="276">
        <v>40</v>
      </c>
      <c r="J37" s="277">
        <f>+H37*I37</f>
        <v>40</v>
      </c>
      <c r="K37" s="276">
        <v>0</v>
      </c>
      <c r="L37" s="276">
        <v>0</v>
      </c>
      <c r="M37" s="278">
        <f>C37*SUM(D37,G37,J37,L37,K37)</f>
        <v>0</v>
      </c>
    </row>
    <row r="38" spans="1:13" ht="14.5" thickBot="1" x14ac:dyDescent="0.3">
      <c r="A38" s="340"/>
      <c r="B38" s="341"/>
      <c r="C38" s="342"/>
      <c r="D38" s="343"/>
      <c r="E38" s="342"/>
      <c r="F38" s="343"/>
      <c r="G38" s="344"/>
      <c r="H38" s="342"/>
      <c r="I38" s="343"/>
      <c r="J38" s="344"/>
      <c r="K38" s="343"/>
      <c r="L38" s="345" t="s">
        <v>269</v>
      </c>
      <c r="M38" s="346">
        <f>ROUND(SUM(M35:M37),0)</f>
        <v>0</v>
      </c>
    </row>
    <row r="39" spans="1:13" ht="14.5" thickTop="1" x14ac:dyDescent="0.25">
      <c r="A39" s="269">
        <v>2</v>
      </c>
      <c r="B39" s="270"/>
      <c r="C39" s="266">
        <v>0</v>
      </c>
      <c r="D39" s="267">
        <f>ROUND(+D35*1.03,)</f>
        <v>0</v>
      </c>
      <c r="E39" s="266">
        <v>0</v>
      </c>
      <c r="F39" s="271">
        <f>ROUND(+F35*1.03,)</f>
        <v>0</v>
      </c>
      <c r="G39" s="268">
        <f>ROUND(+E39*F39,)</f>
        <v>0</v>
      </c>
      <c r="H39" s="266">
        <f>+E39+1</f>
        <v>1</v>
      </c>
      <c r="I39" s="267">
        <v>40</v>
      </c>
      <c r="J39" s="268">
        <f>+H39*I39</f>
        <v>40</v>
      </c>
      <c r="K39" s="267">
        <v>0</v>
      </c>
      <c r="L39" s="267">
        <v>0</v>
      </c>
      <c r="M39" s="272">
        <f>ROUND(C39*SUM(D39,G39,J39,L39,K39),)</f>
        <v>0</v>
      </c>
    </row>
    <row r="40" spans="1:13" ht="14" x14ac:dyDescent="0.25">
      <c r="A40" s="273">
        <v>2</v>
      </c>
      <c r="B40" s="274"/>
      <c r="C40" s="275">
        <v>0</v>
      </c>
      <c r="D40" s="276">
        <f>ROUND(+D36*1.03,)</f>
        <v>0</v>
      </c>
      <c r="E40" s="275">
        <v>0</v>
      </c>
      <c r="F40" s="276">
        <f>ROUND(+F36*1.03,)</f>
        <v>0</v>
      </c>
      <c r="G40" s="277">
        <f>ROUND(+E40*F40,)</f>
        <v>0</v>
      </c>
      <c r="H40" s="275">
        <f>+E40+1</f>
        <v>1</v>
      </c>
      <c r="I40" s="276">
        <v>40</v>
      </c>
      <c r="J40" s="277">
        <f>+H40*I40</f>
        <v>40</v>
      </c>
      <c r="K40" s="276">
        <v>0</v>
      </c>
      <c r="L40" s="276">
        <v>0</v>
      </c>
      <c r="M40" s="278">
        <f>ROUND(C40*SUM(D40,G40,J40,L40,K40),)</f>
        <v>0</v>
      </c>
    </row>
    <row r="41" spans="1:13" ht="14" x14ac:dyDescent="0.25">
      <c r="A41" s="279">
        <v>2</v>
      </c>
      <c r="B41" s="280"/>
      <c r="C41" s="281">
        <v>0</v>
      </c>
      <c r="D41" s="282">
        <f>ROUND(+D37*1.03,)</f>
        <v>0</v>
      </c>
      <c r="E41" s="281">
        <v>0</v>
      </c>
      <c r="F41" s="282">
        <f>ROUND(+F37*1.03,)</f>
        <v>0</v>
      </c>
      <c r="G41" s="283">
        <f>ROUND(+E41*F41,)</f>
        <v>0</v>
      </c>
      <c r="H41" s="281">
        <f>+E41+1</f>
        <v>1</v>
      </c>
      <c r="I41" s="282">
        <v>40</v>
      </c>
      <c r="J41" s="283">
        <f>+H41*I41</f>
        <v>40</v>
      </c>
      <c r="K41" s="282">
        <v>0</v>
      </c>
      <c r="L41" s="282">
        <v>0</v>
      </c>
      <c r="M41" s="284">
        <f>ROUND(C41*SUM(D41,G41,J41,L41,K41),)</f>
        <v>0</v>
      </c>
    </row>
    <row r="42" spans="1:13" ht="14.5" thickBot="1" x14ac:dyDescent="0.3">
      <c r="A42" s="347"/>
      <c r="B42" s="348"/>
      <c r="C42" s="349"/>
      <c r="D42" s="350"/>
      <c r="E42" s="349"/>
      <c r="F42" s="350"/>
      <c r="G42" s="351"/>
      <c r="H42" s="349"/>
      <c r="I42" s="350"/>
      <c r="J42" s="351"/>
      <c r="K42" s="350"/>
      <c r="L42" s="352" t="s">
        <v>270</v>
      </c>
      <c r="M42" s="353">
        <f>ROUND(SUM(M39:M41),0)</f>
        <v>0</v>
      </c>
    </row>
    <row r="43" spans="1:13" ht="14.5" thickTop="1" x14ac:dyDescent="0.25">
      <c r="A43" s="269">
        <v>3</v>
      </c>
      <c r="B43" s="270"/>
      <c r="C43" s="266">
        <v>0</v>
      </c>
      <c r="D43" s="267">
        <f>ROUND(+D39*1.03,)</f>
        <v>0</v>
      </c>
      <c r="E43" s="266">
        <v>0</v>
      </c>
      <c r="F43" s="267">
        <f>ROUND(+F39*1.03,)</f>
        <v>0</v>
      </c>
      <c r="G43" s="268">
        <f>ROUND(+E43*F43,)</f>
        <v>0</v>
      </c>
      <c r="H43" s="266">
        <f>+E43+1</f>
        <v>1</v>
      </c>
      <c r="I43" s="267">
        <v>40</v>
      </c>
      <c r="J43" s="268">
        <f>+H43*I43</f>
        <v>40</v>
      </c>
      <c r="K43" s="267">
        <v>0</v>
      </c>
      <c r="L43" s="267">
        <v>0</v>
      </c>
      <c r="M43" s="272">
        <f>ROUND(C43*SUM(D43,G43,J43,L43,K43),)</f>
        <v>0</v>
      </c>
    </row>
    <row r="44" spans="1:13" ht="14" x14ac:dyDescent="0.25">
      <c r="A44" s="273">
        <v>3</v>
      </c>
      <c r="B44" s="274"/>
      <c r="C44" s="275">
        <v>0</v>
      </c>
      <c r="D44" s="276">
        <f>ROUND(+D40*1.03,)</f>
        <v>0</v>
      </c>
      <c r="E44" s="275">
        <v>0</v>
      </c>
      <c r="F44" s="276">
        <f>ROUND(+F40*1.03,)</f>
        <v>0</v>
      </c>
      <c r="G44" s="277">
        <f>ROUND(+E44*F44,)</f>
        <v>0</v>
      </c>
      <c r="H44" s="275">
        <f>+E44+1</f>
        <v>1</v>
      </c>
      <c r="I44" s="276">
        <v>40</v>
      </c>
      <c r="J44" s="277">
        <f>+H44*I44</f>
        <v>40</v>
      </c>
      <c r="K44" s="276">
        <v>0</v>
      </c>
      <c r="L44" s="276">
        <v>0</v>
      </c>
      <c r="M44" s="278">
        <f>ROUND(C44*SUM(D44,G44,J44,L44,K44),)</f>
        <v>0</v>
      </c>
    </row>
    <row r="45" spans="1:13" ht="14" x14ac:dyDescent="0.25">
      <c r="A45" s="279">
        <v>3</v>
      </c>
      <c r="B45" s="280"/>
      <c r="C45" s="281">
        <v>0</v>
      </c>
      <c r="D45" s="282">
        <f>ROUND(+D41*1.03,)</f>
        <v>0</v>
      </c>
      <c r="E45" s="281">
        <v>0</v>
      </c>
      <c r="F45" s="282">
        <f>ROUND(+F41*1.03,)</f>
        <v>0</v>
      </c>
      <c r="G45" s="283">
        <f>ROUND(+E45*F45,)</f>
        <v>0</v>
      </c>
      <c r="H45" s="281">
        <f>+E45+1</f>
        <v>1</v>
      </c>
      <c r="I45" s="282">
        <v>40</v>
      </c>
      <c r="J45" s="283">
        <f>+H45*I45</f>
        <v>40</v>
      </c>
      <c r="K45" s="282">
        <v>0</v>
      </c>
      <c r="L45" s="282">
        <v>0</v>
      </c>
      <c r="M45" s="284">
        <f>ROUND(C45*SUM(D45,G45,J45,L45,K45),)</f>
        <v>0</v>
      </c>
    </row>
    <row r="46" spans="1:13" ht="14.5" thickBot="1" x14ac:dyDescent="0.3">
      <c r="A46" s="354"/>
      <c r="B46" s="355"/>
      <c r="C46" s="356"/>
      <c r="D46" s="357"/>
      <c r="E46" s="356"/>
      <c r="F46" s="357"/>
      <c r="G46" s="358"/>
      <c r="H46" s="356"/>
      <c r="I46" s="357"/>
      <c r="J46" s="358"/>
      <c r="K46" s="359"/>
      <c r="L46" s="360" t="s">
        <v>271</v>
      </c>
      <c r="M46" s="361">
        <f>ROUND(SUM(M43:M45),0)</f>
        <v>0</v>
      </c>
    </row>
    <row r="47" spans="1:13" ht="14.5" thickTop="1" x14ac:dyDescent="0.25">
      <c r="A47" s="299">
        <v>4</v>
      </c>
      <c r="B47" s="300"/>
      <c r="C47" s="301">
        <v>0</v>
      </c>
      <c r="D47" s="302">
        <f>ROUND(+D43*1.03,)</f>
        <v>0</v>
      </c>
      <c r="E47" s="301">
        <v>0</v>
      </c>
      <c r="F47" s="302">
        <f>ROUND(+F43*1.03,)</f>
        <v>0</v>
      </c>
      <c r="G47" s="303">
        <f>ROUND(+E47*F47,)</f>
        <v>0</v>
      </c>
      <c r="H47" s="304">
        <f>+E47+1</f>
        <v>1</v>
      </c>
      <c r="I47" s="302">
        <v>40</v>
      </c>
      <c r="J47" s="320">
        <f>+H47*I47</f>
        <v>40</v>
      </c>
      <c r="K47" s="320">
        <v>0</v>
      </c>
      <c r="L47" s="320">
        <v>0</v>
      </c>
      <c r="M47" s="305">
        <f>ROUND(C47*SUM(D47,G47,J47,L47,K47),)</f>
        <v>0</v>
      </c>
    </row>
    <row r="48" spans="1:13" ht="14" x14ac:dyDescent="0.25">
      <c r="A48" s="273">
        <v>4</v>
      </c>
      <c r="B48" s="274"/>
      <c r="C48" s="275">
        <v>0</v>
      </c>
      <c r="D48" s="276">
        <f>ROUND(+D44*1.03,)</f>
        <v>0</v>
      </c>
      <c r="E48" s="275">
        <v>0</v>
      </c>
      <c r="F48" s="276">
        <f>ROUND(+F44*1.03,)</f>
        <v>0</v>
      </c>
      <c r="G48" s="277">
        <f>ROUND(+E48*F48,)</f>
        <v>0</v>
      </c>
      <c r="H48" s="275">
        <f>+E48+1</f>
        <v>1</v>
      </c>
      <c r="I48" s="276">
        <v>40</v>
      </c>
      <c r="J48" s="321">
        <f>+H48*I48</f>
        <v>40</v>
      </c>
      <c r="K48" s="321">
        <v>0</v>
      </c>
      <c r="L48" s="321">
        <v>0</v>
      </c>
      <c r="M48" s="278">
        <f>ROUND(C48*SUM(D48,G48,J48,L48,K48),)</f>
        <v>0</v>
      </c>
    </row>
    <row r="49" spans="1:13" ht="14" x14ac:dyDescent="0.25">
      <c r="A49" s="279">
        <v>4</v>
      </c>
      <c r="B49" s="280"/>
      <c r="C49" s="281">
        <v>0</v>
      </c>
      <c r="D49" s="282">
        <f>ROUND(+D45*1.03,)</f>
        <v>0</v>
      </c>
      <c r="E49" s="281">
        <v>0</v>
      </c>
      <c r="F49" s="282">
        <f>ROUND(+F45*1.03,)</f>
        <v>0</v>
      </c>
      <c r="G49" s="283">
        <f>ROUND(+E49*F49,)</f>
        <v>0</v>
      </c>
      <c r="H49" s="281">
        <f>+E49+1</f>
        <v>1</v>
      </c>
      <c r="I49" s="282">
        <v>40</v>
      </c>
      <c r="J49" s="283">
        <f>+H49*I49</f>
        <v>40</v>
      </c>
      <c r="K49" s="323">
        <v>0</v>
      </c>
      <c r="L49" s="282">
        <v>0</v>
      </c>
      <c r="M49" s="284">
        <f>ROUND(C49*SUM(D49,G49,J49,L49,K49),)</f>
        <v>0</v>
      </c>
    </row>
    <row r="50" spans="1:13" ht="14.5" thickBot="1" x14ac:dyDescent="0.3">
      <c r="A50" s="362"/>
      <c r="B50" s="363"/>
      <c r="C50" s="364"/>
      <c r="D50" s="365"/>
      <c r="E50" s="364"/>
      <c r="F50" s="365"/>
      <c r="G50" s="366"/>
      <c r="H50" s="364"/>
      <c r="I50" s="365"/>
      <c r="J50" s="366"/>
      <c r="K50" s="365"/>
      <c r="L50" s="367" t="s">
        <v>272</v>
      </c>
      <c r="M50" s="368">
        <f>ROUND(SUM(M47:M49),0)</f>
        <v>0</v>
      </c>
    </row>
    <row r="51" spans="1:13" ht="14.5" thickTop="1" x14ac:dyDescent="0.25">
      <c r="A51" s="269">
        <v>5</v>
      </c>
      <c r="B51" s="270"/>
      <c r="C51" s="266">
        <v>0</v>
      </c>
      <c r="D51" s="267">
        <f>ROUND(+D47*1.03,)</f>
        <v>0</v>
      </c>
      <c r="E51" s="266">
        <v>0</v>
      </c>
      <c r="F51" s="267">
        <f>ROUND(+F47*1.03,)</f>
        <v>0</v>
      </c>
      <c r="G51" s="268">
        <f>ROUND(+E51*F51,)</f>
        <v>0</v>
      </c>
      <c r="H51" s="266">
        <f>+E51+1</f>
        <v>1</v>
      </c>
      <c r="I51" s="267">
        <v>40</v>
      </c>
      <c r="J51" s="268">
        <f>+H51*I51</f>
        <v>40</v>
      </c>
      <c r="K51" s="267">
        <v>0</v>
      </c>
      <c r="L51" s="267">
        <v>0</v>
      </c>
      <c r="M51" s="272">
        <f>ROUND(C51*SUM(D51,G51,J51,L51,K51),)</f>
        <v>0</v>
      </c>
    </row>
    <row r="52" spans="1:13" ht="14" x14ac:dyDescent="0.25">
      <c r="A52" s="273">
        <v>5</v>
      </c>
      <c r="B52" s="274"/>
      <c r="C52" s="275">
        <v>0</v>
      </c>
      <c r="D52" s="276">
        <f>ROUND(+D48*1.03,)</f>
        <v>0</v>
      </c>
      <c r="E52" s="275">
        <v>0</v>
      </c>
      <c r="F52" s="276">
        <f>ROUND(+F48*1.03,)</f>
        <v>0</v>
      </c>
      <c r="G52" s="277">
        <f>ROUND(+E52*F52,)</f>
        <v>0</v>
      </c>
      <c r="H52" s="275">
        <f>+E52+1</f>
        <v>1</v>
      </c>
      <c r="I52" s="276">
        <v>40</v>
      </c>
      <c r="J52" s="277">
        <f>+H52*I52</f>
        <v>40</v>
      </c>
      <c r="K52" s="276">
        <v>0</v>
      </c>
      <c r="L52" s="276">
        <v>0</v>
      </c>
      <c r="M52" s="278">
        <f>ROUND(C52*SUM(D52,G52,J52,L52,K52),)</f>
        <v>0</v>
      </c>
    </row>
    <row r="53" spans="1:13" ht="14" x14ac:dyDescent="0.25">
      <c r="A53" s="279">
        <v>5</v>
      </c>
      <c r="B53" s="280"/>
      <c r="C53" s="281">
        <v>0</v>
      </c>
      <c r="D53" s="282">
        <f>ROUND(+D49*1.03,)</f>
        <v>0</v>
      </c>
      <c r="E53" s="281">
        <v>0</v>
      </c>
      <c r="F53" s="282">
        <f>ROUND(+F49*1.03,)</f>
        <v>0</v>
      </c>
      <c r="G53" s="283">
        <f>ROUND(+E53*F53,)</f>
        <v>0</v>
      </c>
      <c r="H53" s="281">
        <f>+E53+1</f>
        <v>1</v>
      </c>
      <c r="I53" s="282">
        <v>40</v>
      </c>
      <c r="J53" s="283">
        <f>+H53*I53</f>
        <v>40</v>
      </c>
      <c r="K53" s="282">
        <v>0</v>
      </c>
      <c r="L53" s="282">
        <v>0</v>
      </c>
      <c r="M53" s="284">
        <f>ROUND(C53*SUM(D53,G53,J53,L53,K53),)</f>
        <v>0</v>
      </c>
    </row>
    <row r="54" spans="1:13" ht="14.5" thickBot="1" x14ac:dyDescent="0.3">
      <c r="A54" s="369"/>
      <c r="B54" s="370"/>
      <c r="C54" s="371"/>
      <c r="D54" s="372"/>
      <c r="E54" s="371"/>
      <c r="F54" s="371"/>
      <c r="G54" s="372"/>
      <c r="H54" s="371"/>
      <c r="I54" s="373"/>
      <c r="J54" s="373"/>
      <c r="K54" s="373"/>
      <c r="L54" s="374" t="s">
        <v>273</v>
      </c>
      <c r="M54" s="375">
        <f>ROUND(SUM(M51:M53),0)</f>
        <v>0</v>
      </c>
    </row>
    <row r="55" spans="1:13" ht="13" thickTop="1" x14ac:dyDescent="0.25"/>
  </sheetData>
  <mergeCells count="9">
    <mergeCell ref="A32:M32"/>
    <mergeCell ref="E33:G33"/>
    <mergeCell ref="H33:J33"/>
    <mergeCell ref="A30:M30"/>
    <mergeCell ref="A2:M2"/>
    <mergeCell ref="A3:M3"/>
    <mergeCell ref="A5:M5"/>
    <mergeCell ref="E6:G6"/>
    <mergeCell ref="H6:J6"/>
  </mergeCells>
  <hyperlinks>
    <hyperlink ref="A30:M30" r:id="rId1" display="Dept of State Per Diem Rates: https://aoprals.state.gov/web920/per_diem.asp" xr:uid="{00000000-0004-0000-0400-000000000000}"/>
    <hyperlink ref="A2:M2" r:id="rId2" display="Iowa State Travel Policies: http://www.controller.iastate.edu/travelinformation/homepage.htm" xr:uid="{00000000-0004-0000-0400-000001000000}"/>
  </hyperlinks>
  <pageMargins left="0.7" right="0.7" top="0.75" bottom="0.75" header="0.3" footer="0.3"/>
  <pageSetup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896419ae-3c92-41ca-b7cd-a2b5f0bfa85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F48A5424CAA814080BC9FA5CCBCB1CD" ma:contentTypeVersion="15" ma:contentTypeDescription="Create a new document." ma:contentTypeScope="" ma:versionID="c0f1dd998a19a19d3873fe50d66d2a89">
  <xsd:schema xmlns:xsd="http://www.w3.org/2001/XMLSchema" xmlns:xs="http://www.w3.org/2001/XMLSchema" xmlns:p="http://schemas.microsoft.com/office/2006/metadata/properties" xmlns:ns3="f6ed7eb4-05a2-440d-934d-5d7ecc4c361b" xmlns:ns4="896419ae-3c92-41ca-b7cd-a2b5f0bfa851" targetNamespace="http://schemas.microsoft.com/office/2006/metadata/properties" ma:root="true" ma:fieldsID="f4b11616ae9937ac4a5b977e72d4e80f" ns3:_="" ns4:_="">
    <xsd:import namespace="f6ed7eb4-05a2-440d-934d-5d7ecc4c361b"/>
    <xsd:import namespace="896419ae-3c92-41ca-b7cd-a2b5f0bfa85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LengthInSeconds" minOccurs="0"/>
                <xsd:element ref="ns4:MediaServiceAutoTags" minOccurs="0"/>
                <xsd:element ref="ns4:MediaServiceSearchProperties" minOccurs="0"/>
                <xsd:element ref="ns4:_activity" minOccurs="0"/>
                <xsd:element ref="ns4:MediaServiceObjectDetectorVersions" minOccurs="0"/>
                <xsd:element ref="ns4:MediaServiceSystemTags" minOccurs="0"/>
                <xsd:element ref="ns4:MediaServiceLocation" minOccurs="0"/>
                <xsd:element ref="ns4:MediaServiceGenerationTime" minOccurs="0"/>
                <xsd:element ref="ns4: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6ed7eb4-05a2-440d-934d-5d7ecc4c361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6419ae-3c92-41ca-b7cd-a2b5f0bfa85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LengthInSeconds" ma:index="14" nillable="true" ma:displayName="Length (seconds)"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_activity" ma:index="17" nillable="true" ma:displayName="_activity" ma:hidden="true" ma:internalName="_activity">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Location" ma:index="20" nillable="true" ma:displayName="Location" ma:indexed="true" ma:internalName="MediaServiceLocation" ma:readOnly="true">
      <xsd:simpleType>
        <xsd:restriction base="dms:Text"/>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95AC9-E363-4D48-A592-4825ADBF7EFB}">
  <ds:schemaRefs>
    <ds:schemaRef ds:uri="http://purl.org/dc/term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 ds:uri="896419ae-3c92-41ca-b7cd-a2b5f0bfa851"/>
    <ds:schemaRef ds:uri="f6ed7eb4-05a2-440d-934d-5d7ecc4c361b"/>
    <ds:schemaRef ds:uri="http://purl.org/dc/elements/1.1/"/>
  </ds:schemaRefs>
</ds:datastoreItem>
</file>

<file path=customXml/itemProps2.xml><?xml version="1.0" encoding="utf-8"?>
<ds:datastoreItem xmlns:ds="http://schemas.openxmlformats.org/officeDocument/2006/customXml" ds:itemID="{99BBD382-939D-4EF9-A66A-9F0FAC496BC3}">
  <ds:schemaRefs>
    <ds:schemaRef ds:uri="http://schemas.microsoft.com/sharepoint/v3/contenttype/forms"/>
  </ds:schemaRefs>
</ds:datastoreItem>
</file>

<file path=customXml/itemProps3.xml><?xml version="1.0" encoding="utf-8"?>
<ds:datastoreItem xmlns:ds="http://schemas.openxmlformats.org/officeDocument/2006/customXml" ds:itemID="{AEE94195-212E-408E-83C5-ADB1954393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6ed7eb4-05a2-440d-934d-5d7ecc4c361b"/>
    <ds:schemaRef ds:uri="896419ae-3c92-41ca-b7cd-a2b5f0bfa8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Summary</vt:lpstr>
      <vt:lpstr>F&amp;A Calculation- Sponsor Funds </vt:lpstr>
      <vt:lpstr>F&amp;A Calculations - Cost Share</vt:lpstr>
      <vt:lpstr>Tuition</vt:lpstr>
      <vt:lpstr>Travel</vt:lpstr>
      <vt:lpstr>FA_RATE</vt:lpstr>
      <vt:lpstr>GroundTranspo</vt:lpstr>
      <vt:lpstr>mileage</vt:lpstr>
      <vt:lpstr>Negotiated</vt:lpstr>
      <vt:lpstr>OtherMTDC</vt:lpstr>
      <vt:lpstr>OtherTDC</vt:lpstr>
      <vt:lpstr>parking</vt:lpstr>
      <vt:lpstr>Summary!Print_Area</vt:lpstr>
      <vt:lpstr>Tuition!Print_Area</vt:lpstr>
      <vt:lpstr>TFF_TDC</vt:lpstr>
      <vt:lpstr>Yr1TravelDom</vt:lpstr>
      <vt:lpstr>Yr1TravelIntl</vt:lpstr>
      <vt:lpstr>Yr2TravelDom</vt:lpstr>
      <vt:lpstr>Yr2TravelIntl</vt:lpstr>
      <vt:lpstr>Yr3TravelDom</vt:lpstr>
      <vt:lpstr>Yr3TravelIntl</vt:lpstr>
      <vt:lpstr>Yr4TravelDom</vt:lpstr>
      <vt:lpstr>Yr4TravelIntl</vt:lpstr>
      <vt:lpstr>Yr5TravelDom</vt:lpstr>
      <vt:lpstr>Yr5TravelIntl</vt:lpstr>
    </vt:vector>
  </TitlesOfParts>
  <Manager/>
  <Company>Iowa State University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 Alvarez</dc:creator>
  <cp:keywords/>
  <dc:description/>
  <cp:lastModifiedBy>Gelder, Brian K [A&amp;BE]</cp:lastModifiedBy>
  <cp:revision/>
  <dcterms:created xsi:type="dcterms:W3CDTF">2008-11-17T19:38:33Z</dcterms:created>
  <dcterms:modified xsi:type="dcterms:W3CDTF">2025-04-08T20:34:17Z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0x010100BF48A5424CAA814080BC9FA5CCBCB1CD</vt:lpwstr>
  </property>
</Properties>
</file>