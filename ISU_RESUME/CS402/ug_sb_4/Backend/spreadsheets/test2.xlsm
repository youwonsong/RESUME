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9"/>
  <workbookPr codeName="ThisWorkbook"/>
  <mc:AlternateContent xmlns:mc="http://schemas.openxmlformats.org/markup-compatibility/2006">
    <mc:Choice Requires="x15">
      <x15ac:absPath xmlns:x15ac="http://schemas.microsoft.com/office/spreadsheetml/2010/11/ac" url="C:\Users\bkgelder\Box\DEP Team Database\AFRI 2025\"/>
    </mc:Choice>
  </mc:AlternateContent>
  <xr:revisionPtr revIDLastSave="34" documentId="13_ncr:1_{705AA56E-CB1D-46E2-872B-02BAA71A8A18}" xr6:coauthVersionLast="47" xr6:coauthVersionMax="47" xr10:uidLastSave="{C1FC55FA-271A-4CC3-AEE6-8065B08E4F8F}"/>
  <bookViews>
    <workbookView xWindow="5240" yWindow="2300" windowWidth="28800" windowHeight="15370" xr2:uid="{00000000-000D-0000-FFFF-FFFF00000000}"/>
  </bookViews>
  <sheets>
    <sheet name="Summary" sheetId="2" r:id="rId1"/>
    <sheet name="F&amp;A Calculation- Sponsor Funds " sheetId="6" state="hidden" r:id="rId2"/>
    <sheet name="F&amp;A Calculations - Cost Share" sheetId="7" state="hidden" r:id="rId3"/>
    <sheet name="Tuition" sheetId="3" r:id="rId4"/>
    <sheet name="Travel" sheetId="9" r:id="rId5"/>
  </sheets>
  <functionGroups builtInGroupCount="19"/>
  <externalReferences>
    <externalReference r:id="rId6"/>
    <externalReference r:id="rId7"/>
  </externalReferences>
  <definedNames>
    <definedName name="_YR1" localSheetId="2">#REF!</definedName>
    <definedName name="_YR1">#REF!</definedName>
    <definedName name="_YR2" localSheetId="2">#REF!</definedName>
    <definedName name="_YR2">#REF!</definedName>
    <definedName name="_YR3" localSheetId="2">'[1]Form Page 4'!#REF!</definedName>
    <definedName name="_YR3">'[1]Form Page 4'!#REF!</definedName>
    <definedName name="_YR4" localSheetId="2">'[1]Form Page 4'!#REF!</definedName>
    <definedName name="_YR4">'[1]Form Page 4'!#REF!</definedName>
    <definedName name="_YR5" localSheetId="2">'[1]Form Page 4'!#REF!</definedName>
    <definedName name="_YR5">'[1]Form Page 4'!#REF!</definedName>
    <definedName name="bach" localSheetId="2">#REF!</definedName>
    <definedName name="bach">#REF!</definedName>
    <definedName name="FA_RATE">Summary!$U$4:$U$7</definedName>
    <definedName name="fac" localSheetId="2">#REF!</definedName>
    <definedName name="fac">#REF!</definedName>
    <definedName name="grad" localSheetId="2">#REF!</definedName>
    <definedName name="grad">#REF!</definedName>
    <definedName name="GroundTranspo">Travel!$P$10</definedName>
    <definedName name="GS" localSheetId="2">'[1]Form Page 4'!#REF!</definedName>
    <definedName name="GS">'[1]Form Page 4'!#REF!</definedName>
    <definedName name="hour" localSheetId="2">#REF!</definedName>
    <definedName name="hour">#REF!</definedName>
    <definedName name="HR" localSheetId="2">'[1]Form Page 4'!#REF!</definedName>
    <definedName name="HR">'[1]Form Page 4'!#REF!</definedName>
    <definedName name="merit" localSheetId="2">#REF!</definedName>
    <definedName name="merit">#REF!</definedName>
    <definedName name="mileage">Travel!$P$8</definedName>
    <definedName name="Negotiated">Summary!$U$4</definedName>
    <definedName name="OtherMTDC">Summary!$U$7</definedName>
    <definedName name="OtherTDC">Summary!$U$5</definedName>
    <definedName name="parking">Travel!$P$9</definedName>
    <definedName name="PD" localSheetId="2">'[1]Form Page 4'!#REF!</definedName>
    <definedName name="PD">'[1]Form Page 4'!#REF!</definedName>
    <definedName name="post" localSheetId="2">#REF!</definedName>
    <definedName name="post">#REF!</definedName>
    <definedName name="_xlnm.Print_Area" localSheetId="0">Summary!$A$1:$U$121</definedName>
    <definedName name="_xlnm.Print_Area" localSheetId="3">Tuition!$H$198:$S$257</definedName>
    <definedName name="Print_Area_MI" localSheetId="2">#REF!</definedName>
    <definedName name="Print_Area_MI">#REF!</definedName>
    <definedName name="Print_Titles_MI" localSheetId="2">#REF!</definedName>
    <definedName name="Print_Titles_MI">#REF!</definedName>
    <definedName name="Project2_Comments" localSheetId="1">#REF!</definedName>
    <definedName name="Project2_Comments" localSheetId="2">#REF!</definedName>
    <definedName name="Project2_Comments">#REF!</definedName>
    <definedName name="Project3_Budget" localSheetId="1">#REF!</definedName>
    <definedName name="Project3_Budget" localSheetId="2">#REF!</definedName>
    <definedName name="Project3_Budget">#REF!</definedName>
    <definedName name="Project3_Comments" localSheetId="1">#REF!</definedName>
    <definedName name="Project3_Comments" localSheetId="2">#REF!</definedName>
    <definedName name="Project3_Comments">#REF!</definedName>
    <definedName name="Project4_Budget" localSheetId="1">#REF!</definedName>
    <definedName name="Project4_Budget" localSheetId="2">#REF!</definedName>
    <definedName name="Project4_Budget">#REF!</definedName>
    <definedName name="Project4_Comments" localSheetId="1">#REF!</definedName>
    <definedName name="Project4_Comments" localSheetId="2">#REF!</definedName>
    <definedName name="Project4_Comments">#REF!</definedName>
    <definedName name="Project5_Budget" localSheetId="1">#REF!</definedName>
    <definedName name="Project5_Budget" localSheetId="2">#REF!</definedName>
    <definedName name="Project5_Budget">#REF!</definedName>
    <definedName name="Project5_Comments" localSheetId="1">#REF!</definedName>
    <definedName name="Project5_Comments" localSheetId="2">#REF!</definedName>
    <definedName name="Project5_Comments">#REF!</definedName>
    <definedName name="PRSALARY" localSheetId="2" function="1" xlm="1">#REF!</definedName>
    <definedName name="PRSALARY" function="1" xlm="1">#REF!</definedName>
    <definedName name="ps" localSheetId="2">#REF!</definedName>
    <definedName name="ps">#REF!</definedName>
    <definedName name="TFF_TDC">Summary!$U$6</definedName>
    <definedName name="ug" localSheetId="2">#REF!</definedName>
    <definedName name="ug">#REF!</definedName>
    <definedName name="years">'[2]Start here'!$I$10</definedName>
    <definedName name="Yr1TravelDom">Travel!$M$11</definedName>
    <definedName name="Yr1TravelIntl">Travel!$M$38</definedName>
    <definedName name="Yr2TravelDom">Travel!$M$15</definedName>
    <definedName name="Yr2TravelIntl">Travel!$M$42</definedName>
    <definedName name="Yr3TravelDom">Travel!$M$19</definedName>
    <definedName name="Yr3TravelIntl">Travel!$M$46</definedName>
    <definedName name="Yr4TravelDom">Travel!$M$23</definedName>
    <definedName name="Yr4TravelIntl">Travel!$M$50</definedName>
    <definedName name="Yr5TravelDom">Travel!$M$27</definedName>
    <definedName name="Yr5TravelIntl">Travel!$M$54</definedName>
  </definedNames>
  <calcPr calcId="191028"/>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K18" i="9" l="1"/>
  <c r="J18" i="9"/>
  <c r="K14" i="9"/>
  <c r="K10" i="9"/>
  <c r="H13" i="9"/>
  <c r="J13" i="9" s="1"/>
  <c r="F13" i="9"/>
  <c r="G13" i="9" s="1"/>
  <c r="D13" i="9"/>
  <c r="H28" i="2" l="1"/>
  <c r="H53" i="2" s="1"/>
  <c r="H8" i="9"/>
  <c r="H27" i="2"/>
  <c r="H52" i="2" s="1"/>
  <c r="R85" i="2"/>
  <c r="R86" i="2"/>
  <c r="R87" i="2"/>
  <c r="R88" i="2"/>
  <c r="R89" i="2"/>
  <c r="S77" i="2"/>
  <c r="S78" i="2"/>
  <c r="R77" i="2"/>
  <c r="R78" i="2"/>
  <c r="T78" i="2" s="1"/>
  <c r="S87" i="2"/>
  <c r="L11" i="2"/>
  <c r="K11" i="2" s="1"/>
  <c r="J11" i="2"/>
  <c r="Q113" i="2"/>
  <c r="O113" i="2"/>
  <c r="M113" i="2"/>
  <c r="K113" i="2"/>
  <c r="I113" i="2"/>
  <c r="H11" i="2"/>
  <c r="T77" i="2" l="1"/>
  <c r="T87" i="2"/>
  <c r="H4" i="2"/>
  <c r="D112" i="2" s="1"/>
  <c r="S98" i="2"/>
  <c r="S99" i="2"/>
  <c r="S100" i="2"/>
  <c r="S101" i="2"/>
  <c r="S102" i="2"/>
  <c r="R98" i="2"/>
  <c r="P99" i="2"/>
  <c r="P100" i="2"/>
  <c r="P101" i="2"/>
  <c r="P102" i="2"/>
  <c r="N99" i="2"/>
  <c r="N100" i="2"/>
  <c r="N101" i="2"/>
  <c r="N102" i="2"/>
  <c r="N103" i="2"/>
  <c r="L99" i="2"/>
  <c r="L100" i="2"/>
  <c r="J99" i="2"/>
  <c r="J100" i="2"/>
  <c r="R101" i="2" l="1"/>
  <c r="T101" i="2" s="1"/>
  <c r="R100" i="2"/>
  <c r="T100" i="2" s="1"/>
  <c r="R99" i="2"/>
  <c r="T99" i="2" s="1"/>
  <c r="R102" i="2"/>
  <c r="T102" i="2" s="1"/>
  <c r="T98" i="2"/>
  <c r="C49" i="2"/>
  <c r="I55" i="2"/>
  <c r="K249" i="3"/>
  <c r="M249" i="3"/>
  <c r="O249" i="3"/>
  <c r="Q249" i="3"/>
  <c r="K240" i="3"/>
  <c r="M240" i="3"/>
  <c r="O240" i="3"/>
  <c r="Q240" i="3"/>
  <c r="K231" i="3"/>
  <c r="M231" i="3"/>
  <c r="O231" i="3"/>
  <c r="Q231" i="3"/>
  <c r="K219" i="3"/>
  <c r="M219" i="3"/>
  <c r="O219" i="3"/>
  <c r="Q219" i="3"/>
  <c r="K210" i="3"/>
  <c r="M210" i="3"/>
  <c r="O210" i="3"/>
  <c r="Q210" i="3"/>
  <c r="K201" i="3"/>
  <c r="M201" i="3"/>
  <c r="O201" i="3"/>
  <c r="Q201" i="3"/>
  <c r="K189" i="3"/>
  <c r="M189" i="3"/>
  <c r="O189" i="3"/>
  <c r="Q189" i="3"/>
  <c r="K180" i="3"/>
  <c r="M180" i="3"/>
  <c r="O180" i="3"/>
  <c r="Q180" i="3"/>
  <c r="K171" i="3"/>
  <c r="M171" i="3"/>
  <c r="O171" i="3"/>
  <c r="Q171" i="3"/>
  <c r="K159" i="3"/>
  <c r="M159" i="3"/>
  <c r="O159" i="3"/>
  <c r="Q159" i="3" l="1"/>
  <c r="K150" i="3"/>
  <c r="M150" i="3"/>
  <c r="O150" i="3"/>
  <c r="Q150" i="3"/>
  <c r="K141" i="3"/>
  <c r="M141" i="3"/>
  <c r="O141" i="3" l="1"/>
  <c r="Q141" i="3"/>
  <c r="K129" i="3" l="1"/>
  <c r="M129" i="3"/>
  <c r="O129" i="3"/>
  <c r="Q129" i="3"/>
  <c r="K120" i="3"/>
  <c r="M120" i="3"/>
  <c r="O120" i="3"/>
  <c r="Q120" i="3"/>
  <c r="K111" i="3" l="1"/>
  <c r="K112" i="3" s="1"/>
  <c r="K113" i="3" s="1"/>
  <c r="K114" i="3" s="1"/>
  <c r="K115" i="3" s="1"/>
  <c r="K116" i="3" s="1"/>
  <c r="K117" i="3" s="1"/>
  <c r="K118" i="3" s="1"/>
  <c r="M111" i="3"/>
  <c r="O111" i="3"/>
  <c r="Q111" i="3"/>
  <c r="Q112" i="3" s="1"/>
  <c r="W124" i="3"/>
  <c r="W125" i="3" s="1"/>
  <c r="W126" i="3" s="1"/>
  <c r="W127" i="3" s="1"/>
  <c r="W128" i="3" s="1"/>
  <c r="W129" i="3" s="1"/>
  <c r="W130" i="3" s="1"/>
  <c r="W131" i="3" s="1"/>
  <c r="W132" i="3" s="1"/>
  <c r="V124" i="3"/>
  <c r="V125" i="3" l="1"/>
  <c r="V126" i="3" s="1"/>
  <c r="V127" i="3" s="1"/>
  <c r="V128" i="3" s="1"/>
  <c r="V129" i="3" s="1"/>
  <c r="V130" i="3" s="1"/>
  <c r="V131" i="3" s="1"/>
  <c r="V132" i="3" s="1"/>
  <c r="Q250" i="3"/>
  <c r="Q251" i="3" s="1"/>
  <c r="Q252" i="3" s="1"/>
  <c r="Q253" i="3" s="1"/>
  <c r="Q254" i="3" s="1"/>
  <c r="Q255" i="3" s="1"/>
  <c r="Q256" i="3" s="1"/>
  <c r="O250" i="3"/>
  <c r="O251" i="3" s="1"/>
  <c r="O252" i="3" s="1"/>
  <c r="O253" i="3" s="1"/>
  <c r="O254" i="3" s="1"/>
  <c r="O255" i="3" s="1"/>
  <c r="O256" i="3" s="1"/>
  <c r="M250" i="3"/>
  <c r="M251" i="3" s="1"/>
  <c r="M252" i="3" s="1"/>
  <c r="M253" i="3" s="1"/>
  <c r="M254" i="3" s="1"/>
  <c r="M255" i="3" s="1"/>
  <c r="M256" i="3" s="1"/>
  <c r="K250" i="3"/>
  <c r="K251" i="3" s="1"/>
  <c r="K252" i="3" s="1"/>
  <c r="K253" i="3" s="1"/>
  <c r="K254" i="3" s="1"/>
  <c r="K255" i="3" s="1"/>
  <c r="K256" i="3" s="1"/>
  <c r="Q241" i="3"/>
  <c r="Q242" i="3" s="1"/>
  <c r="Q243" i="3" s="1"/>
  <c r="Q244" i="3" s="1"/>
  <c r="Q245" i="3" s="1"/>
  <c r="Q246" i="3" s="1"/>
  <c r="Q247" i="3" s="1"/>
  <c r="O241" i="3"/>
  <c r="O242" i="3" s="1"/>
  <c r="O243" i="3" s="1"/>
  <c r="O244" i="3" s="1"/>
  <c r="O245" i="3" s="1"/>
  <c r="O246" i="3" s="1"/>
  <c r="O247" i="3" s="1"/>
  <c r="M241" i="3"/>
  <c r="M242" i="3" s="1"/>
  <c r="M243" i="3" s="1"/>
  <c r="M244" i="3" s="1"/>
  <c r="M245" i="3" s="1"/>
  <c r="M246" i="3" s="1"/>
  <c r="M247" i="3" s="1"/>
  <c r="K241" i="3"/>
  <c r="K242" i="3" s="1"/>
  <c r="K243" i="3" s="1"/>
  <c r="K244" i="3" s="1"/>
  <c r="K245" i="3" s="1"/>
  <c r="K246" i="3" s="1"/>
  <c r="K247" i="3" s="1"/>
  <c r="Q232" i="3"/>
  <c r="O232" i="3"/>
  <c r="M232" i="3"/>
  <c r="K232" i="3"/>
  <c r="K233" i="3" s="1"/>
  <c r="K234" i="3" s="1"/>
  <c r="K235" i="3" s="1"/>
  <c r="K236" i="3" s="1"/>
  <c r="K237" i="3" s="1"/>
  <c r="K238" i="3" s="1"/>
  <c r="Q220" i="3"/>
  <c r="Q221" i="3" s="1"/>
  <c r="Q222" i="3" s="1"/>
  <c r="Q223" i="3" s="1"/>
  <c r="Q224" i="3" s="1"/>
  <c r="Q225" i="3" s="1"/>
  <c r="Q226" i="3" s="1"/>
  <c r="O220" i="3"/>
  <c r="O221" i="3" s="1"/>
  <c r="O222" i="3" s="1"/>
  <c r="O223" i="3" s="1"/>
  <c r="O224" i="3" s="1"/>
  <c r="O225" i="3" s="1"/>
  <c r="O226" i="3" s="1"/>
  <c r="M220" i="3"/>
  <c r="M221" i="3" s="1"/>
  <c r="M222" i="3" s="1"/>
  <c r="M223" i="3" s="1"/>
  <c r="M224" i="3" s="1"/>
  <c r="M225" i="3" s="1"/>
  <c r="M226" i="3" s="1"/>
  <c r="K220" i="3"/>
  <c r="K221" i="3" s="1"/>
  <c r="K222" i="3" s="1"/>
  <c r="K223" i="3" s="1"/>
  <c r="K224" i="3" s="1"/>
  <c r="K225" i="3" s="1"/>
  <c r="K226" i="3" s="1"/>
  <c r="Q211" i="3"/>
  <c r="Q212" i="3" s="1"/>
  <c r="Q213" i="3" s="1"/>
  <c r="Q214" i="3" s="1"/>
  <c r="Q215" i="3" s="1"/>
  <c r="Q216" i="3" s="1"/>
  <c r="Q217" i="3" s="1"/>
  <c r="O211" i="3"/>
  <c r="O212" i="3" s="1"/>
  <c r="O213" i="3" s="1"/>
  <c r="O214" i="3" s="1"/>
  <c r="O215" i="3" s="1"/>
  <c r="O216" i="3" s="1"/>
  <c r="O217" i="3" s="1"/>
  <c r="M211" i="3"/>
  <c r="M212" i="3" s="1"/>
  <c r="M213" i="3" s="1"/>
  <c r="M214" i="3" s="1"/>
  <c r="M215" i="3" s="1"/>
  <c r="M216" i="3" s="1"/>
  <c r="M217" i="3" s="1"/>
  <c r="K211" i="3"/>
  <c r="K212" i="3" s="1"/>
  <c r="K213" i="3" s="1"/>
  <c r="K214" i="3" s="1"/>
  <c r="K215" i="3" s="1"/>
  <c r="K216" i="3" s="1"/>
  <c r="K217" i="3" s="1"/>
  <c r="Q202" i="3"/>
  <c r="Q203" i="3" s="1"/>
  <c r="Q204" i="3" s="1"/>
  <c r="Q205" i="3" s="1"/>
  <c r="Q206" i="3" s="1"/>
  <c r="Q207" i="3" s="1"/>
  <c r="Q208" i="3" s="1"/>
  <c r="O202" i="3"/>
  <c r="O203" i="3" s="1"/>
  <c r="O204" i="3" s="1"/>
  <c r="O205" i="3" s="1"/>
  <c r="O206" i="3" s="1"/>
  <c r="O207" i="3" s="1"/>
  <c r="O208" i="3" s="1"/>
  <c r="M202" i="3"/>
  <c r="M203" i="3" s="1"/>
  <c r="M204" i="3" s="1"/>
  <c r="M205" i="3" s="1"/>
  <c r="M206" i="3" s="1"/>
  <c r="M207" i="3" s="1"/>
  <c r="M208" i="3" s="1"/>
  <c r="K202" i="3"/>
  <c r="K203" i="3" s="1"/>
  <c r="K204" i="3" s="1"/>
  <c r="K205" i="3" s="1"/>
  <c r="K206" i="3" s="1"/>
  <c r="K207" i="3" s="1"/>
  <c r="K208" i="3" s="1"/>
  <c r="Q190" i="3"/>
  <c r="Q191" i="3" s="1"/>
  <c r="Q192" i="3" s="1"/>
  <c r="Q193" i="3" s="1"/>
  <c r="Q194" i="3" s="1"/>
  <c r="Q195" i="3" s="1"/>
  <c r="Q196" i="3" s="1"/>
  <c r="O190" i="3"/>
  <c r="O191" i="3" s="1"/>
  <c r="O192" i="3" s="1"/>
  <c r="O193" i="3" s="1"/>
  <c r="O194" i="3" s="1"/>
  <c r="O195" i="3" s="1"/>
  <c r="O196" i="3" s="1"/>
  <c r="M190" i="3"/>
  <c r="M191" i="3" s="1"/>
  <c r="M192" i="3" s="1"/>
  <c r="M193" i="3" s="1"/>
  <c r="M194" i="3" s="1"/>
  <c r="M195" i="3" s="1"/>
  <c r="M196" i="3" s="1"/>
  <c r="K190" i="3"/>
  <c r="K191" i="3" s="1"/>
  <c r="K192" i="3" s="1"/>
  <c r="K193" i="3" s="1"/>
  <c r="K194" i="3" s="1"/>
  <c r="K195" i="3" s="1"/>
  <c r="K196" i="3" s="1"/>
  <c r="Q181" i="3"/>
  <c r="Q182" i="3" s="1"/>
  <c r="Q183" i="3" s="1"/>
  <c r="Q184" i="3" s="1"/>
  <c r="Q185" i="3" s="1"/>
  <c r="Q186" i="3" s="1"/>
  <c r="Q187" i="3" s="1"/>
  <c r="O181" i="3"/>
  <c r="O182" i="3" s="1"/>
  <c r="O183" i="3" s="1"/>
  <c r="O184" i="3" s="1"/>
  <c r="O185" i="3" s="1"/>
  <c r="O186" i="3" s="1"/>
  <c r="O187" i="3" s="1"/>
  <c r="M181" i="3"/>
  <c r="M182" i="3" s="1"/>
  <c r="M183" i="3" s="1"/>
  <c r="M184" i="3" s="1"/>
  <c r="M185" i="3" s="1"/>
  <c r="M186" i="3" s="1"/>
  <c r="M187" i="3" s="1"/>
  <c r="K181" i="3"/>
  <c r="K182" i="3" s="1"/>
  <c r="K183" i="3" s="1"/>
  <c r="K184" i="3" s="1"/>
  <c r="K185" i="3" s="1"/>
  <c r="K186" i="3" s="1"/>
  <c r="K187" i="3" s="1"/>
  <c r="Q172" i="3"/>
  <c r="Q173" i="3" s="1"/>
  <c r="Q174" i="3" s="1"/>
  <c r="Q175" i="3" s="1"/>
  <c r="Q176" i="3" s="1"/>
  <c r="Q177" i="3" s="1"/>
  <c r="Q178" i="3" s="1"/>
  <c r="O172" i="3"/>
  <c r="O173" i="3" s="1"/>
  <c r="O174" i="3" s="1"/>
  <c r="O175" i="3" s="1"/>
  <c r="O176" i="3" s="1"/>
  <c r="O177" i="3" s="1"/>
  <c r="O178" i="3" s="1"/>
  <c r="M172" i="3"/>
  <c r="M173" i="3" s="1"/>
  <c r="M174" i="3" s="1"/>
  <c r="M175" i="3" s="1"/>
  <c r="M176" i="3" s="1"/>
  <c r="M177" i="3" s="1"/>
  <c r="M178" i="3" s="1"/>
  <c r="K172" i="3"/>
  <c r="K173" i="3" s="1"/>
  <c r="K174" i="3" s="1"/>
  <c r="K175" i="3" s="1"/>
  <c r="K176" i="3" s="1"/>
  <c r="K177" i="3" s="1"/>
  <c r="K178" i="3" s="1"/>
  <c r="Q160" i="3"/>
  <c r="Q161" i="3" s="1"/>
  <c r="Q162" i="3" s="1"/>
  <c r="Q163" i="3" s="1"/>
  <c r="Q164" i="3" s="1"/>
  <c r="Q165" i="3" s="1"/>
  <c r="Q166" i="3" s="1"/>
  <c r="O160" i="3"/>
  <c r="O161" i="3" s="1"/>
  <c r="O162" i="3" s="1"/>
  <c r="O163" i="3" s="1"/>
  <c r="O164" i="3" s="1"/>
  <c r="O165" i="3" s="1"/>
  <c r="O166" i="3" s="1"/>
  <c r="M160" i="3"/>
  <c r="M161" i="3" s="1"/>
  <c r="M162" i="3" s="1"/>
  <c r="M163" i="3" s="1"/>
  <c r="M164" i="3" s="1"/>
  <c r="M165" i="3" s="1"/>
  <c r="M166" i="3" s="1"/>
  <c r="K160" i="3"/>
  <c r="K161" i="3" s="1"/>
  <c r="K162" i="3" s="1"/>
  <c r="K163" i="3" s="1"/>
  <c r="K164" i="3" s="1"/>
  <c r="K165" i="3" s="1"/>
  <c r="K166" i="3" s="1"/>
  <c r="Q151" i="3"/>
  <c r="Q152" i="3" s="1"/>
  <c r="Q153" i="3" s="1"/>
  <c r="Q154" i="3" s="1"/>
  <c r="Q155" i="3" s="1"/>
  <c r="Q156" i="3" s="1"/>
  <c r="Q157" i="3" s="1"/>
  <c r="O151" i="3"/>
  <c r="O152" i="3" s="1"/>
  <c r="O153" i="3" s="1"/>
  <c r="O154" i="3" s="1"/>
  <c r="O155" i="3" s="1"/>
  <c r="O156" i="3" s="1"/>
  <c r="O157" i="3" s="1"/>
  <c r="M151" i="3"/>
  <c r="M152" i="3" s="1"/>
  <c r="M153" i="3" s="1"/>
  <c r="M154" i="3" s="1"/>
  <c r="M155" i="3" s="1"/>
  <c r="M156" i="3" s="1"/>
  <c r="M157" i="3" s="1"/>
  <c r="K151" i="3"/>
  <c r="K152" i="3" s="1"/>
  <c r="K153" i="3" s="1"/>
  <c r="K154" i="3" s="1"/>
  <c r="K155" i="3" s="1"/>
  <c r="K156" i="3" s="1"/>
  <c r="K157" i="3" s="1"/>
  <c r="Q142" i="3"/>
  <c r="Q143" i="3" s="1"/>
  <c r="Q144" i="3" s="1"/>
  <c r="Q145" i="3" s="1"/>
  <c r="Q146" i="3" s="1"/>
  <c r="Q147" i="3" s="1"/>
  <c r="Q148" i="3" s="1"/>
  <c r="O142" i="3"/>
  <c r="O143" i="3" s="1"/>
  <c r="O144" i="3" s="1"/>
  <c r="O145" i="3" s="1"/>
  <c r="O146" i="3" s="1"/>
  <c r="O147" i="3" s="1"/>
  <c r="O148" i="3" s="1"/>
  <c r="M142" i="3"/>
  <c r="M143" i="3" s="1"/>
  <c r="M144" i="3" s="1"/>
  <c r="M145" i="3" s="1"/>
  <c r="M146" i="3" s="1"/>
  <c r="M147" i="3" s="1"/>
  <c r="M148" i="3" s="1"/>
  <c r="K142" i="3"/>
  <c r="K143" i="3" s="1"/>
  <c r="K144" i="3" s="1"/>
  <c r="K145" i="3" s="1"/>
  <c r="K146" i="3" s="1"/>
  <c r="K147" i="3" s="1"/>
  <c r="K148" i="3" s="1"/>
  <c r="Q130" i="3"/>
  <c r="Q131" i="3" s="1"/>
  <c r="Q132" i="3" s="1"/>
  <c r="Q133" i="3" s="1"/>
  <c r="Q134" i="3" s="1"/>
  <c r="Q135" i="3" s="1"/>
  <c r="Q136" i="3" s="1"/>
  <c r="O130" i="3"/>
  <c r="O131" i="3" s="1"/>
  <c r="O132" i="3" s="1"/>
  <c r="O133" i="3" s="1"/>
  <c r="O134" i="3" s="1"/>
  <c r="O135" i="3" s="1"/>
  <c r="O136" i="3" s="1"/>
  <c r="M130" i="3"/>
  <c r="M131" i="3" s="1"/>
  <c r="M132" i="3" s="1"/>
  <c r="M133" i="3" s="1"/>
  <c r="M134" i="3" s="1"/>
  <c r="M135" i="3" s="1"/>
  <c r="M136" i="3" s="1"/>
  <c r="K130" i="3"/>
  <c r="K131" i="3" s="1"/>
  <c r="K132" i="3" s="1"/>
  <c r="K133" i="3" s="1"/>
  <c r="K134" i="3" s="1"/>
  <c r="K135" i="3" s="1"/>
  <c r="K136" i="3" s="1"/>
  <c r="Q121" i="3"/>
  <c r="Q122" i="3" s="1"/>
  <c r="Q123" i="3" s="1"/>
  <c r="Q124" i="3" s="1"/>
  <c r="Q125" i="3" s="1"/>
  <c r="Q126" i="3" s="1"/>
  <c r="Q127" i="3" s="1"/>
  <c r="O121" i="3"/>
  <c r="O122" i="3" s="1"/>
  <c r="O123" i="3" s="1"/>
  <c r="O124" i="3" s="1"/>
  <c r="O125" i="3" s="1"/>
  <c r="O126" i="3" s="1"/>
  <c r="O127" i="3" s="1"/>
  <c r="M121" i="3"/>
  <c r="M122" i="3" s="1"/>
  <c r="M123" i="3" s="1"/>
  <c r="M124" i="3" s="1"/>
  <c r="M125" i="3" s="1"/>
  <c r="M126" i="3" s="1"/>
  <c r="M127" i="3" s="1"/>
  <c r="K121" i="3"/>
  <c r="K122" i="3" s="1"/>
  <c r="K123" i="3" s="1"/>
  <c r="K124" i="3" s="1"/>
  <c r="K125" i="3" s="1"/>
  <c r="K126" i="3" s="1"/>
  <c r="K127" i="3" s="1"/>
  <c r="Q113" i="3"/>
  <c r="Q114" i="3" s="1"/>
  <c r="Q115" i="3" s="1"/>
  <c r="Q116" i="3" s="1"/>
  <c r="Q117" i="3" s="1"/>
  <c r="Q118" i="3" s="1"/>
  <c r="O112" i="3"/>
  <c r="O113" i="3" s="1"/>
  <c r="O114" i="3" s="1"/>
  <c r="O115" i="3" s="1"/>
  <c r="O116" i="3" s="1"/>
  <c r="O117" i="3" s="1"/>
  <c r="O118" i="3" s="1"/>
  <c r="M112" i="3"/>
  <c r="M113" i="3" s="1"/>
  <c r="M114" i="3" s="1"/>
  <c r="M115" i="3" s="1"/>
  <c r="M116" i="3" s="1"/>
  <c r="M117" i="3" s="1"/>
  <c r="M118" i="3" s="1"/>
  <c r="Q233" i="3" l="1"/>
  <c r="Q234" i="3" s="1"/>
  <c r="Q235" i="3" s="1"/>
  <c r="Q236" i="3" s="1"/>
  <c r="Q237" i="3" s="1"/>
  <c r="Q238" i="3" s="1"/>
  <c r="O233" i="3"/>
  <c r="O234" i="3" s="1"/>
  <c r="O235" i="3" s="1"/>
  <c r="O236" i="3" s="1"/>
  <c r="O237" i="3" s="1"/>
  <c r="O238" i="3" s="1"/>
  <c r="M233" i="3"/>
  <c r="M234" i="3" s="1"/>
  <c r="M235" i="3" s="1"/>
  <c r="M236" i="3" s="1"/>
  <c r="M237" i="3" l="1"/>
  <c r="M238" i="3" s="1"/>
  <c r="H32" i="2"/>
  <c r="H57" i="2" s="1"/>
  <c r="I48" i="2"/>
  <c r="H21" i="2"/>
  <c r="F41" i="9"/>
  <c r="F45" i="9" s="1"/>
  <c r="F40" i="9"/>
  <c r="F44" i="9"/>
  <c r="G44" i="9" s="1"/>
  <c r="F48" i="9"/>
  <c r="F52" i="9"/>
  <c r="F39" i="9"/>
  <c r="G39" i="9" s="1"/>
  <c r="F43" i="9"/>
  <c r="G43" i="9" s="1"/>
  <c r="F47" i="9"/>
  <c r="G47" i="9" s="1"/>
  <c r="F51" i="9"/>
  <c r="G41" i="9"/>
  <c r="D41" i="9"/>
  <c r="D45" i="9" s="1"/>
  <c r="D40" i="9"/>
  <c r="D44" i="9"/>
  <c r="D48" i="9"/>
  <c r="D52" i="9"/>
  <c r="D39" i="9"/>
  <c r="D43" i="9"/>
  <c r="D47" i="9"/>
  <c r="D51" i="9"/>
  <c r="F14" i="9"/>
  <c r="F18" i="9" s="1"/>
  <c r="G18" i="9" s="1"/>
  <c r="F22" i="9"/>
  <c r="F26" i="9"/>
  <c r="G26" i="9" s="1"/>
  <c r="F17" i="9"/>
  <c r="F12" i="9"/>
  <c r="F16" i="9" s="1"/>
  <c r="D14" i="9"/>
  <c r="D18" i="9" s="1"/>
  <c r="D22" i="9" s="1"/>
  <c r="D17" i="9"/>
  <c r="D12" i="9"/>
  <c r="D16" i="9" s="1"/>
  <c r="H53" i="9"/>
  <c r="J53" i="9"/>
  <c r="H52" i="9"/>
  <c r="J52" i="9"/>
  <c r="H51" i="9"/>
  <c r="J51" i="9"/>
  <c r="H49" i="9"/>
  <c r="J49" i="9"/>
  <c r="H48" i="9"/>
  <c r="J48" i="9"/>
  <c r="H47" i="9"/>
  <c r="J47" i="9" s="1"/>
  <c r="H45" i="9"/>
  <c r="J45" i="9"/>
  <c r="H44" i="9"/>
  <c r="J44" i="9"/>
  <c r="H43" i="9"/>
  <c r="J43" i="9"/>
  <c r="H41" i="9"/>
  <c r="J41" i="9"/>
  <c r="H40" i="9"/>
  <c r="J40" i="9"/>
  <c r="H39" i="9"/>
  <c r="J39" i="9"/>
  <c r="H37" i="9"/>
  <c r="J37" i="9" s="1"/>
  <c r="G37" i="9"/>
  <c r="H36" i="9"/>
  <c r="J36" i="9"/>
  <c r="G36" i="9"/>
  <c r="H35" i="9"/>
  <c r="J35" i="9" s="1"/>
  <c r="G35" i="9"/>
  <c r="J8" i="9"/>
  <c r="G8" i="9"/>
  <c r="H26" i="9"/>
  <c r="H25" i="9"/>
  <c r="J25" i="9"/>
  <c r="H24" i="9"/>
  <c r="J24" i="9" s="1"/>
  <c r="H22" i="9"/>
  <c r="J22" i="9" s="1"/>
  <c r="H21" i="9"/>
  <c r="J21" i="9" s="1"/>
  <c r="H20" i="9"/>
  <c r="J20" i="9"/>
  <c r="H17" i="9"/>
  <c r="J17" i="9" s="1"/>
  <c r="H16" i="9"/>
  <c r="H12" i="9"/>
  <c r="J12" i="9" s="1"/>
  <c r="G10" i="9"/>
  <c r="H9" i="9"/>
  <c r="J9" i="9" s="1"/>
  <c r="G9" i="9"/>
  <c r="M9" i="9" s="1"/>
  <c r="G52" i="9"/>
  <c r="M52" i="9" s="1"/>
  <c r="G51" i="9"/>
  <c r="M41" i="9"/>
  <c r="M36" i="9"/>
  <c r="G40" i="9"/>
  <c r="J16" i="9"/>
  <c r="J14" i="9"/>
  <c r="J10" i="9"/>
  <c r="J26" i="9"/>
  <c r="G48" i="9"/>
  <c r="M48" i="9" s="1"/>
  <c r="M51" i="9"/>
  <c r="G22" i="9"/>
  <c r="S117" i="2"/>
  <c r="T117" i="2"/>
  <c r="S118" i="2"/>
  <c r="T118" i="2" s="1"/>
  <c r="S96" i="2"/>
  <c r="S97" i="2"/>
  <c r="N138" i="2"/>
  <c r="K138" i="2" s="1"/>
  <c r="H15" i="2"/>
  <c r="H42" i="2" s="1"/>
  <c r="E112" i="2"/>
  <c r="C112" i="2"/>
  <c r="J28" i="2"/>
  <c r="N11" i="2"/>
  <c r="B47" i="7" s="1"/>
  <c r="P11" i="2"/>
  <c r="B57" i="6" s="1"/>
  <c r="B37" i="6"/>
  <c r="B17" i="6"/>
  <c r="H16" i="2"/>
  <c r="J16" i="2" s="1"/>
  <c r="H17" i="2"/>
  <c r="H44" i="2" s="1"/>
  <c r="H18" i="2"/>
  <c r="H45" i="2" s="1"/>
  <c r="H19" i="2"/>
  <c r="H20" i="2"/>
  <c r="H22" i="2"/>
  <c r="H49" i="2" s="1"/>
  <c r="H23" i="2"/>
  <c r="H50" i="2" s="1"/>
  <c r="H26" i="2"/>
  <c r="H51" i="2" s="1"/>
  <c r="J27" i="2"/>
  <c r="L27" i="2" s="1"/>
  <c r="H29" i="2"/>
  <c r="H30" i="2"/>
  <c r="H55" i="2" s="1"/>
  <c r="H31" i="2"/>
  <c r="H56" i="2" s="1"/>
  <c r="H33" i="2"/>
  <c r="H58" i="2" s="1"/>
  <c r="H34" i="2"/>
  <c r="H59" i="2" s="1"/>
  <c r="H35" i="2"/>
  <c r="H60" i="2" s="1"/>
  <c r="H36" i="2"/>
  <c r="H37" i="2"/>
  <c r="H62" i="2" s="1"/>
  <c r="H66" i="2"/>
  <c r="H74" i="2"/>
  <c r="I43" i="2"/>
  <c r="Q25" i="2"/>
  <c r="Q42" i="2"/>
  <c r="Q44" i="2"/>
  <c r="Q45" i="2"/>
  <c r="Q46" i="2"/>
  <c r="Q47" i="2"/>
  <c r="Q48" i="2"/>
  <c r="Q49" i="2"/>
  <c r="Q50" i="2"/>
  <c r="Q51" i="2"/>
  <c r="Q52" i="2"/>
  <c r="Q53" i="2"/>
  <c r="Q54" i="2"/>
  <c r="Q55" i="2"/>
  <c r="Q56" i="2"/>
  <c r="Q57" i="2"/>
  <c r="Q58" i="2"/>
  <c r="Q59" i="2"/>
  <c r="Q60" i="2"/>
  <c r="Q61" i="2"/>
  <c r="Q62" i="2"/>
  <c r="Q66" i="2"/>
  <c r="Q70" i="2"/>
  <c r="Q74" i="2"/>
  <c r="Q81" i="2"/>
  <c r="P66" i="2"/>
  <c r="P74" i="2"/>
  <c r="O25" i="2"/>
  <c r="O42" i="2"/>
  <c r="O44" i="2"/>
  <c r="O45" i="2"/>
  <c r="O46" i="2"/>
  <c r="O47" i="2"/>
  <c r="O48" i="2"/>
  <c r="O49" i="2"/>
  <c r="O50" i="2"/>
  <c r="O51" i="2"/>
  <c r="O52" i="2"/>
  <c r="O53" i="2"/>
  <c r="O54" i="2"/>
  <c r="O55" i="2"/>
  <c r="O56" i="2"/>
  <c r="O57" i="2"/>
  <c r="O58" i="2"/>
  <c r="O59" i="2"/>
  <c r="O60" i="2"/>
  <c r="O61" i="2"/>
  <c r="O62" i="2"/>
  <c r="O66" i="2"/>
  <c r="O70" i="2"/>
  <c r="O74" i="2"/>
  <c r="O81" i="2"/>
  <c r="N66" i="2"/>
  <c r="N74" i="2"/>
  <c r="M25" i="2"/>
  <c r="M42" i="2"/>
  <c r="M44" i="2"/>
  <c r="M45" i="2"/>
  <c r="M46" i="2"/>
  <c r="M47" i="2"/>
  <c r="M48" i="2"/>
  <c r="M49" i="2"/>
  <c r="M50" i="2"/>
  <c r="M51" i="2"/>
  <c r="M52" i="2"/>
  <c r="M53" i="2"/>
  <c r="M54" i="2"/>
  <c r="M55" i="2"/>
  <c r="M56" i="2"/>
  <c r="M57" i="2"/>
  <c r="M58" i="2"/>
  <c r="M59" i="2"/>
  <c r="M60" i="2"/>
  <c r="M61" i="2"/>
  <c r="M62" i="2"/>
  <c r="M66" i="2"/>
  <c r="M70" i="2"/>
  <c r="M74" i="2"/>
  <c r="M81" i="2"/>
  <c r="L66" i="2"/>
  <c r="L74" i="2"/>
  <c r="K25" i="2"/>
  <c r="K42" i="2"/>
  <c r="K44" i="2"/>
  <c r="K45" i="2"/>
  <c r="K46" i="2"/>
  <c r="K47" i="2"/>
  <c r="K48" i="2"/>
  <c r="K49" i="2"/>
  <c r="K50" i="2"/>
  <c r="K51" i="2"/>
  <c r="K52" i="2"/>
  <c r="K53" i="2"/>
  <c r="K54" i="2"/>
  <c r="K55" i="2"/>
  <c r="K56" i="2"/>
  <c r="K57" i="2"/>
  <c r="K58" i="2"/>
  <c r="K59" i="2"/>
  <c r="K60" i="2"/>
  <c r="K61" i="2"/>
  <c r="K62" i="2"/>
  <c r="K66" i="2"/>
  <c r="K70" i="2"/>
  <c r="K74" i="2"/>
  <c r="K81" i="2"/>
  <c r="I14" i="2"/>
  <c r="I25" i="2"/>
  <c r="I42" i="2"/>
  <c r="I44" i="2"/>
  <c r="I45" i="2"/>
  <c r="I46" i="2"/>
  <c r="I47" i="2"/>
  <c r="I49" i="2"/>
  <c r="I50" i="2"/>
  <c r="I51" i="2"/>
  <c r="I52" i="2"/>
  <c r="I53" i="2"/>
  <c r="I54" i="2"/>
  <c r="I56" i="2"/>
  <c r="I57" i="2"/>
  <c r="I58" i="2"/>
  <c r="I59" i="2"/>
  <c r="I60" i="2"/>
  <c r="I61" i="2"/>
  <c r="I62" i="2"/>
  <c r="I66" i="2"/>
  <c r="I70" i="2"/>
  <c r="I74" i="2"/>
  <c r="I81" i="2"/>
  <c r="J66" i="2"/>
  <c r="J74" i="2"/>
  <c r="D72" i="7"/>
  <c r="D82" i="7"/>
  <c r="H81" i="7"/>
  <c r="F81" i="7"/>
  <c r="G81" i="7" s="1"/>
  <c r="H80" i="7"/>
  <c r="F80" i="7"/>
  <c r="H79" i="7"/>
  <c r="F79" i="7"/>
  <c r="G79" i="7" s="1"/>
  <c r="H78" i="7"/>
  <c r="H77" i="7"/>
  <c r="H82" i="7"/>
  <c r="F78" i="7"/>
  <c r="G78" i="7"/>
  <c r="F77" i="7"/>
  <c r="F82" i="7" s="1"/>
  <c r="E77" i="7" s="1"/>
  <c r="G77" i="7"/>
  <c r="C77" i="7"/>
  <c r="H71" i="7"/>
  <c r="F71" i="7"/>
  <c r="G71" i="7" s="1"/>
  <c r="H70" i="7"/>
  <c r="F70" i="7"/>
  <c r="G70" i="7" s="1"/>
  <c r="H69" i="7"/>
  <c r="F69" i="7"/>
  <c r="G69" i="7"/>
  <c r="H68" i="7"/>
  <c r="F68" i="7"/>
  <c r="G68" i="7"/>
  <c r="H67" i="7"/>
  <c r="H72" i="7"/>
  <c r="F67" i="7"/>
  <c r="F72" i="7" s="1"/>
  <c r="E67" i="7" s="1"/>
  <c r="C67" i="7"/>
  <c r="G67" i="7"/>
  <c r="G80" i="7"/>
  <c r="C67" i="6"/>
  <c r="F67" i="6"/>
  <c r="G67" i="6"/>
  <c r="F68" i="6"/>
  <c r="G68" i="6"/>
  <c r="F69" i="6"/>
  <c r="G69" i="6"/>
  <c r="F70" i="6"/>
  <c r="G70" i="6"/>
  <c r="F71" i="6"/>
  <c r="G71" i="6"/>
  <c r="G72" i="6"/>
  <c r="H67" i="6"/>
  <c r="H68" i="6"/>
  <c r="H69" i="6"/>
  <c r="H70" i="6"/>
  <c r="H71" i="6"/>
  <c r="H72" i="6"/>
  <c r="D72" i="6"/>
  <c r="C77" i="6"/>
  <c r="F77" i="6"/>
  <c r="G77" i="6"/>
  <c r="H77" i="6"/>
  <c r="F78" i="6"/>
  <c r="G78" i="6" s="1"/>
  <c r="F79" i="6"/>
  <c r="G79" i="6" s="1"/>
  <c r="F80" i="6"/>
  <c r="G80" i="6" s="1"/>
  <c r="F81" i="6"/>
  <c r="F82" i="6"/>
  <c r="E77" i="6" s="1"/>
  <c r="H78" i="6"/>
  <c r="H79" i="6"/>
  <c r="H80" i="6"/>
  <c r="H81" i="6"/>
  <c r="H82" i="6"/>
  <c r="D82" i="6"/>
  <c r="S88" i="2"/>
  <c r="T88" i="2" s="1"/>
  <c r="S84" i="2"/>
  <c r="R84" i="2"/>
  <c r="S95" i="2"/>
  <c r="S103" i="2"/>
  <c r="S94" i="2"/>
  <c r="S93" i="2"/>
  <c r="S92" i="2"/>
  <c r="S91" i="2"/>
  <c r="S90" i="2"/>
  <c r="S89" i="2"/>
  <c r="S86" i="2"/>
  <c r="S85" i="2"/>
  <c r="S83" i="2"/>
  <c r="S82" i="2"/>
  <c r="S79" i="2"/>
  <c r="S76" i="2"/>
  <c r="S75" i="2"/>
  <c r="R75" i="2"/>
  <c r="S72" i="2"/>
  <c r="S71" i="2"/>
  <c r="S68" i="2"/>
  <c r="S67" i="2"/>
  <c r="S37" i="2"/>
  <c r="S36" i="2"/>
  <c r="S35" i="2"/>
  <c r="S34" i="2"/>
  <c r="S33" i="2"/>
  <c r="S32" i="2"/>
  <c r="S31" i="2"/>
  <c r="S30" i="2"/>
  <c r="S29" i="2"/>
  <c r="S28" i="2"/>
  <c r="S27" i="2"/>
  <c r="S26" i="2"/>
  <c r="S23" i="2"/>
  <c r="S22" i="2"/>
  <c r="S21" i="2"/>
  <c r="S20" i="2"/>
  <c r="S19" i="2"/>
  <c r="S18" i="2"/>
  <c r="S17" i="2"/>
  <c r="S15" i="2"/>
  <c r="R103" i="2"/>
  <c r="R92" i="2"/>
  <c r="R91" i="2"/>
  <c r="R90" i="2"/>
  <c r="R83" i="2"/>
  <c r="R82" i="2"/>
  <c r="R79" i="2"/>
  <c r="R76" i="2"/>
  <c r="R68" i="2"/>
  <c r="R67" i="2"/>
  <c r="C57" i="2"/>
  <c r="C58" i="2"/>
  <c r="C59" i="2"/>
  <c r="C60" i="2"/>
  <c r="C61" i="2"/>
  <c r="C62" i="2"/>
  <c r="C55" i="2"/>
  <c r="C54" i="2"/>
  <c r="C52" i="2"/>
  <c r="C51" i="2"/>
  <c r="C50" i="2"/>
  <c r="C48" i="2"/>
  <c r="C47" i="2"/>
  <c r="C46" i="2"/>
  <c r="C45" i="2"/>
  <c r="C53" i="2"/>
  <c r="C42" i="2"/>
  <c r="C43" i="2"/>
  <c r="C44" i="2"/>
  <c r="C56" i="2"/>
  <c r="M43" i="2"/>
  <c r="M14" i="2"/>
  <c r="K14" i="2"/>
  <c r="K43" i="2"/>
  <c r="O14" i="2"/>
  <c r="O43" i="2"/>
  <c r="Q14" i="2"/>
  <c r="Q43" i="2"/>
  <c r="S16" i="2"/>
  <c r="F72" i="6" l="1"/>
  <c r="E67" i="6" s="1"/>
  <c r="I71" i="6" s="1"/>
  <c r="J71" i="6" s="1"/>
  <c r="G72" i="7"/>
  <c r="G82" i="7"/>
  <c r="M35" i="9"/>
  <c r="M37" i="9"/>
  <c r="M18" i="9"/>
  <c r="M43" i="9"/>
  <c r="M39" i="9"/>
  <c r="M44" i="9"/>
  <c r="M40" i="9"/>
  <c r="M47" i="9"/>
  <c r="H54" i="2"/>
  <c r="J29" i="2"/>
  <c r="L29" i="2" s="1"/>
  <c r="D26" i="9"/>
  <c r="M26" i="9" s="1"/>
  <c r="M22" i="9"/>
  <c r="I67" i="7"/>
  <c r="I69" i="7"/>
  <c r="J69" i="7" s="1"/>
  <c r="I70" i="7"/>
  <c r="J70" i="7" s="1"/>
  <c r="I68" i="7"/>
  <c r="J68" i="7" s="1"/>
  <c r="D49" i="9"/>
  <c r="I78" i="7"/>
  <c r="J78" i="7" s="1"/>
  <c r="I79" i="7"/>
  <c r="J79" i="7" s="1"/>
  <c r="I67" i="6"/>
  <c r="I70" i="6"/>
  <c r="J70" i="6" s="1"/>
  <c r="I68" i="6"/>
  <c r="J68" i="6" s="1"/>
  <c r="I69" i="6"/>
  <c r="J69" i="6" s="1"/>
  <c r="F49" i="9"/>
  <c r="G45" i="9"/>
  <c r="M45" i="9" s="1"/>
  <c r="M46" i="9" s="1"/>
  <c r="L72" i="2" s="1"/>
  <c r="I81" i="6"/>
  <c r="J81" i="6" s="1"/>
  <c r="I77" i="6"/>
  <c r="I80" i="7"/>
  <c r="J80" i="7" s="1"/>
  <c r="I81" i="7"/>
  <c r="J81" i="7" s="1"/>
  <c r="I80" i="6"/>
  <c r="J80" i="6" s="1"/>
  <c r="I77" i="7"/>
  <c r="I71" i="7"/>
  <c r="J71" i="7" s="1"/>
  <c r="M10" i="9"/>
  <c r="I79" i="6"/>
  <c r="J79" i="6" s="1"/>
  <c r="G81" i="6"/>
  <c r="G82" i="6" s="1"/>
  <c r="I78" i="6"/>
  <c r="J78" i="6" s="1"/>
  <c r="G14" i="9"/>
  <c r="M14" i="9" s="1"/>
  <c r="G12" i="9"/>
  <c r="F20" i="9"/>
  <c r="G20" i="9" s="1"/>
  <c r="G16" i="9"/>
  <c r="F21" i="9"/>
  <c r="G17" i="9"/>
  <c r="M17" i="9"/>
  <c r="M13" i="9"/>
  <c r="D21" i="9"/>
  <c r="J17" i="2"/>
  <c r="J44" i="2" s="1"/>
  <c r="F24" i="9"/>
  <c r="G24" i="9" s="1"/>
  <c r="M8" i="9"/>
  <c r="M16" i="9"/>
  <c r="M12" i="9"/>
  <c r="J36" i="2"/>
  <c r="J61" i="2" s="1"/>
  <c r="H61" i="2"/>
  <c r="Q39" i="2"/>
  <c r="J23" i="2"/>
  <c r="L23" i="2" s="1"/>
  <c r="P23" i="2" s="1"/>
  <c r="P50" i="2" s="1"/>
  <c r="J20" i="2"/>
  <c r="L20" i="2" s="1"/>
  <c r="H47" i="2"/>
  <c r="J35" i="2"/>
  <c r="J60" i="2" s="1"/>
  <c r="J34" i="2"/>
  <c r="J59" i="2" s="1"/>
  <c r="J21" i="2"/>
  <c r="J48" i="2" s="1"/>
  <c r="H48" i="2"/>
  <c r="J31" i="2"/>
  <c r="L31" i="2" s="1"/>
  <c r="L56" i="2" s="1"/>
  <c r="J19" i="2"/>
  <c r="L19" i="2" s="1"/>
  <c r="H46" i="2"/>
  <c r="D20" i="9"/>
  <c r="B27" i="7"/>
  <c r="I11" i="2"/>
  <c r="H43" i="2"/>
  <c r="T85" i="2"/>
  <c r="T103" i="2"/>
  <c r="T89" i="2"/>
  <c r="T67" i="2"/>
  <c r="J26" i="2"/>
  <c r="J51" i="2" s="1"/>
  <c r="M39" i="2"/>
  <c r="J53" i="2"/>
  <c r="L28" i="2"/>
  <c r="P28" i="2" s="1"/>
  <c r="P53" i="2" s="1"/>
  <c r="T75" i="2"/>
  <c r="S70" i="2"/>
  <c r="T82" i="2"/>
  <c r="T86" i="2"/>
  <c r="J37" i="2"/>
  <c r="T76" i="2"/>
  <c r="T79" i="2"/>
  <c r="T83" i="2"/>
  <c r="S59" i="2"/>
  <c r="O39" i="2"/>
  <c r="S52" i="2"/>
  <c r="T91" i="2"/>
  <c r="S53" i="2"/>
  <c r="T90" i="2"/>
  <c r="T92" i="2"/>
  <c r="S46" i="2"/>
  <c r="T68" i="2"/>
  <c r="T84" i="2"/>
  <c r="H25" i="2"/>
  <c r="R66" i="2"/>
  <c r="R74" i="2"/>
  <c r="H14" i="2"/>
  <c r="S66" i="2"/>
  <c r="K39" i="2"/>
  <c r="S81" i="2"/>
  <c r="S25" i="2"/>
  <c r="S58" i="2"/>
  <c r="S74" i="2"/>
  <c r="S14" i="2"/>
  <c r="J43" i="2"/>
  <c r="L16" i="2"/>
  <c r="N50" i="2"/>
  <c r="L52" i="2"/>
  <c r="I39" i="2"/>
  <c r="J15" i="2"/>
  <c r="J52" i="2"/>
  <c r="S62" i="2"/>
  <c r="S50" i="2"/>
  <c r="J18" i="2"/>
  <c r="S42" i="2"/>
  <c r="J33" i="2"/>
  <c r="S61" i="2"/>
  <c r="J30" i="2"/>
  <c r="S55" i="2"/>
  <c r="J22" i="2"/>
  <c r="L36" i="2"/>
  <c r="L17" i="2"/>
  <c r="J32" i="2"/>
  <c r="S60" i="2"/>
  <c r="S57" i="2"/>
  <c r="S56" i="2"/>
  <c r="S54" i="2"/>
  <c r="S44" i="2"/>
  <c r="S47" i="2"/>
  <c r="S45" i="2"/>
  <c r="S49" i="2"/>
  <c r="S48" i="2"/>
  <c r="S43" i="2"/>
  <c r="B17" i="7"/>
  <c r="B57" i="7"/>
  <c r="B27" i="6"/>
  <c r="O11" i="2"/>
  <c r="M11" i="2"/>
  <c r="Q11" i="2"/>
  <c r="B47" i="6"/>
  <c r="B37" i="7"/>
  <c r="M41" i="2"/>
  <c r="O41" i="2"/>
  <c r="S51" i="2"/>
  <c r="K41" i="2"/>
  <c r="Q41" i="2"/>
  <c r="Q64" i="2" s="1"/>
  <c r="Q105" i="2" s="1"/>
  <c r="I41" i="2"/>
  <c r="K47" i="3"/>
  <c r="K46" i="3" s="1"/>
  <c r="H95" i="2" s="1"/>
  <c r="K48" i="3"/>
  <c r="K28" i="3"/>
  <c r="K89" i="3"/>
  <c r="S113" i="2"/>
  <c r="T113" i="2" s="1"/>
  <c r="K68" i="3"/>
  <c r="M42" i="9" l="1"/>
  <c r="J72" i="2" s="1"/>
  <c r="M38" i="9"/>
  <c r="H72" i="2" s="1"/>
  <c r="I82" i="6"/>
  <c r="J77" i="6"/>
  <c r="J82" i="6" s="1"/>
  <c r="G49" i="9"/>
  <c r="F53" i="9"/>
  <c r="G53" i="9" s="1"/>
  <c r="I72" i="7"/>
  <c r="J67" i="7"/>
  <c r="J72" i="7" s="1"/>
  <c r="I82" i="7"/>
  <c r="J77" i="7"/>
  <c r="J82" i="7" s="1"/>
  <c r="J47" i="2"/>
  <c r="L21" i="2"/>
  <c r="J46" i="2"/>
  <c r="J67" i="6"/>
  <c r="J72" i="6" s="1"/>
  <c r="I72" i="6"/>
  <c r="M49" i="9"/>
  <c r="M50" i="9" s="1"/>
  <c r="N72" i="2" s="1"/>
  <c r="D53" i="9"/>
  <c r="M53" i="9" s="1"/>
  <c r="M54" i="9" s="1"/>
  <c r="P72" i="2" s="1"/>
  <c r="J50" i="2"/>
  <c r="M11" i="9"/>
  <c r="H71" i="2" s="1"/>
  <c r="H70" i="2" s="1"/>
  <c r="O8" i="9"/>
  <c r="M19" i="9"/>
  <c r="L70" i="2" s="1"/>
  <c r="M15" i="9"/>
  <c r="J70" i="2" s="1"/>
  <c r="G21" i="9"/>
  <c r="M21" i="9" s="1"/>
  <c r="F25" i="9"/>
  <c r="G25" i="9" s="1"/>
  <c r="D25" i="9"/>
  <c r="L35" i="2"/>
  <c r="L60" i="2" s="1"/>
  <c r="L26" i="2"/>
  <c r="L51" i="2" s="1"/>
  <c r="L34" i="2"/>
  <c r="L59" i="2" s="1"/>
  <c r="L54" i="2"/>
  <c r="J56" i="2"/>
  <c r="Q108" i="2"/>
  <c r="Q112" i="2" s="1"/>
  <c r="J54" i="2"/>
  <c r="M20" i="9"/>
  <c r="D24" i="9"/>
  <c r="M24" i="9" s="1"/>
  <c r="M64" i="2"/>
  <c r="M105" i="2" s="1"/>
  <c r="L50" i="2"/>
  <c r="N53" i="2"/>
  <c r="H41" i="2"/>
  <c r="O64" i="2"/>
  <c r="O105" i="2" s="1"/>
  <c r="H39" i="2"/>
  <c r="T66" i="2"/>
  <c r="R28" i="2"/>
  <c r="T28" i="2" s="1"/>
  <c r="S39" i="2"/>
  <c r="L53" i="2"/>
  <c r="T74" i="2"/>
  <c r="J62" i="2"/>
  <c r="L37" i="2"/>
  <c r="K64" i="2"/>
  <c r="K105" i="2" s="1"/>
  <c r="L46" i="2"/>
  <c r="J49" i="2"/>
  <c r="L22" i="2"/>
  <c r="N56" i="2"/>
  <c r="P31" i="2"/>
  <c r="J42" i="2"/>
  <c r="J14" i="2"/>
  <c r="L15" i="2"/>
  <c r="R23" i="2"/>
  <c r="T23" i="2" s="1"/>
  <c r="J55" i="2"/>
  <c r="J25" i="2"/>
  <c r="L30" i="2"/>
  <c r="L48" i="2"/>
  <c r="L33" i="2"/>
  <c r="J58" i="2"/>
  <c r="P29" i="2"/>
  <c r="P54" i="2" s="1"/>
  <c r="N54" i="2"/>
  <c r="L43" i="2"/>
  <c r="J57" i="2"/>
  <c r="L32" i="2"/>
  <c r="N52" i="2"/>
  <c r="P27" i="2"/>
  <c r="L44" i="2"/>
  <c r="L61" i="2"/>
  <c r="J45" i="2"/>
  <c r="L18" i="2"/>
  <c r="L47" i="2"/>
  <c r="B58" i="6"/>
  <c r="B58" i="7"/>
  <c r="C57" i="7" s="1"/>
  <c r="B38" i="6"/>
  <c r="B38" i="7"/>
  <c r="B48" i="6"/>
  <c r="B48" i="7"/>
  <c r="B28" i="6"/>
  <c r="C27" i="6" s="1"/>
  <c r="B28" i="7"/>
  <c r="B18" i="7"/>
  <c r="C17" i="7" s="1"/>
  <c r="B18" i="6"/>
  <c r="Q106" i="2"/>
  <c r="S41" i="2"/>
  <c r="I64" i="2"/>
  <c r="K69" i="3"/>
  <c r="K67" i="3" s="1"/>
  <c r="H96" i="2" s="1"/>
  <c r="K90" i="3"/>
  <c r="K88" i="3" s="1"/>
  <c r="H97" i="2" s="1"/>
  <c r="M89" i="3"/>
  <c r="K27" i="3"/>
  <c r="M47" i="3"/>
  <c r="R72" i="2" l="1"/>
  <c r="T72" i="2" s="1"/>
  <c r="R50" i="2"/>
  <c r="T50" i="2" s="1"/>
  <c r="M23" i="9"/>
  <c r="N71" i="2" s="1"/>
  <c r="M25" i="9"/>
  <c r="M27" i="9" s="1"/>
  <c r="P71" i="2" s="1"/>
  <c r="P70" i="2" s="1"/>
  <c r="P34" i="2"/>
  <c r="P59" i="2" s="1"/>
  <c r="O106" i="2"/>
  <c r="O108" i="2"/>
  <c r="O112" i="2" s="1"/>
  <c r="D57" i="7"/>
  <c r="D62" i="7" s="1"/>
  <c r="M108" i="2"/>
  <c r="M112" i="2" s="1"/>
  <c r="K106" i="2"/>
  <c r="K108" i="2"/>
  <c r="K112" i="2" s="1"/>
  <c r="M106" i="2"/>
  <c r="R54" i="2"/>
  <c r="T54" i="2" s="1"/>
  <c r="N70" i="2"/>
  <c r="H64" i="2"/>
  <c r="R53" i="2"/>
  <c r="T53" i="2" s="1"/>
  <c r="V28" i="2" s="1"/>
  <c r="N60" i="2"/>
  <c r="P35" i="2"/>
  <c r="L62" i="2"/>
  <c r="N46" i="2"/>
  <c r="P19" i="2"/>
  <c r="J39" i="2"/>
  <c r="P26" i="2"/>
  <c r="R26" i="2" s="1"/>
  <c r="T26" i="2" s="1"/>
  <c r="N51" i="2"/>
  <c r="P56" i="2"/>
  <c r="R56" i="2" s="1"/>
  <c r="T56" i="2" s="1"/>
  <c r="R31" i="2"/>
  <c r="T31" i="2" s="1"/>
  <c r="J41" i="2"/>
  <c r="P52" i="2"/>
  <c r="R52" i="2" s="1"/>
  <c r="T52" i="2" s="1"/>
  <c r="R27" i="2"/>
  <c r="T27" i="2" s="1"/>
  <c r="L14" i="2"/>
  <c r="L42" i="2"/>
  <c r="P21" i="2"/>
  <c r="P48" i="2" s="1"/>
  <c r="N48" i="2"/>
  <c r="L55" i="2"/>
  <c r="L57" i="2"/>
  <c r="P16" i="2"/>
  <c r="P43" i="2" s="1"/>
  <c r="N43" i="2"/>
  <c r="L25" i="2"/>
  <c r="L49" i="2"/>
  <c r="P20" i="2"/>
  <c r="P47" i="2" s="1"/>
  <c r="N47" i="2"/>
  <c r="L45" i="2"/>
  <c r="L58" i="2"/>
  <c r="N61" i="2"/>
  <c r="P36" i="2"/>
  <c r="P61" i="2" s="1"/>
  <c r="R29" i="2"/>
  <c r="T29" i="2" s="1"/>
  <c r="N44" i="2"/>
  <c r="P17" i="2"/>
  <c r="P44" i="2" s="1"/>
  <c r="F58" i="7"/>
  <c r="G58" i="7" s="1"/>
  <c r="H60" i="7"/>
  <c r="H57" i="7"/>
  <c r="H61" i="7"/>
  <c r="H59" i="7"/>
  <c r="F57" i="7"/>
  <c r="F59" i="7"/>
  <c r="G59" i="7" s="1"/>
  <c r="F61" i="7"/>
  <c r="G61" i="7" s="1"/>
  <c r="H58" i="7"/>
  <c r="F60" i="7"/>
  <c r="G60" i="7" s="1"/>
  <c r="F20" i="6"/>
  <c r="G20" i="6" s="1"/>
  <c r="F17" i="6"/>
  <c r="H17" i="6"/>
  <c r="H20" i="6"/>
  <c r="H21" i="6"/>
  <c r="F19" i="6"/>
  <c r="G19" i="6" s="1"/>
  <c r="F18" i="6"/>
  <c r="G18" i="6" s="1"/>
  <c r="F21" i="6"/>
  <c r="G21" i="6" s="1"/>
  <c r="H18" i="6"/>
  <c r="H19" i="6"/>
  <c r="C17" i="6"/>
  <c r="H57" i="6"/>
  <c r="F60" i="6"/>
  <c r="G60" i="6" s="1"/>
  <c r="F57" i="6"/>
  <c r="F59" i="6"/>
  <c r="G59" i="6" s="1"/>
  <c r="H59" i="6"/>
  <c r="F58" i="6"/>
  <c r="G58" i="6" s="1"/>
  <c r="F61" i="6"/>
  <c r="G61" i="6" s="1"/>
  <c r="H60" i="6"/>
  <c r="H61" i="6"/>
  <c r="H58" i="6"/>
  <c r="C57" i="6"/>
  <c r="F18" i="7"/>
  <c r="G18" i="7" s="1"/>
  <c r="F20" i="7"/>
  <c r="G20" i="7" s="1"/>
  <c r="H19" i="7"/>
  <c r="F17" i="7"/>
  <c r="H21" i="7"/>
  <c r="H17" i="7"/>
  <c r="H18" i="7"/>
  <c r="F21" i="7"/>
  <c r="G21" i="7" s="1"/>
  <c r="F19" i="7"/>
  <c r="G19" i="7" s="1"/>
  <c r="H20" i="7"/>
  <c r="F28" i="7"/>
  <c r="G28" i="7" s="1"/>
  <c r="F27" i="7"/>
  <c r="H30" i="7"/>
  <c r="H28" i="7"/>
  <c r="F29" i="7"/>
  <c r="G29" i="7" s="1"/>
  <c r="F31" i="7"/>
  <c r="G31" i="7" s="1"/>
  <c r="H31" i="7"/>
  <c r="H27" i="7"/>
  <c r="F30" i="7"/>
  <c r="G30" i="7" s="1"/>
  <c r="H29" i="7"/>
  <c r="C27" i="7"/>
  <c r="F28" i="6"/>
  <c r="G28" i="6" s="1"/>
  <c r="H28" i="6"/>
  <c r="F27" i="6"/>
  <c r="F31" i="6"/>
  <c r="G31" i="6" s="1"/>
  <c r="F30" i="6"/>
  <c r="G30" i="6" s="1"/>
  <c r="H27" i="6"/>
  <c r="H29" i="6"/>
  <c r="H31" i="6"/>
  <c r="F29" i="6"/>
  <c r="G29" i="6" s="1"/>
  <c r="H30" i="6"/>
  <c r="F47" i="7"/>
  <c r="F50" i="7"/>
  <c r="G50" i="7" s="1"/>
  <c r="H50" i="7"/>
  <c r="F51" i="7"/>
  <c r="G51" i="7" s="1"/>
  <c r="F49" i="7"/>
  <c r="G49" i="7" s="1"/>
  <c r="F48" i="7"/>
  <c r="G48" i="7" s="1"/>
  <c r="H47" i="7"/>
  <c r="H51" i="7"/>
  <c r="H49" i="7"/>
  <c r="H48" i="7"/>
  <c r="C47" i="7"/>
  <c r="F47" i="6"/>
  <c r="H51" i="6"/>
  <c r="H49" i="6"/>
  <c r="H50" i="6"/>
  <c r="F49" i="6"/>
  <c r="G49" i="6" s="1"/>
  <c r="F51" i="6"/>
  <c r="G51" i="6" s="1"/>
  <c r="H47" i="6"/>
  <c r="H48" i="6"/>
  <c r="F50" i="6"/>
  <c r="G50" i="6" s="1"/>
  <c r="F48" i="6"/>
  <c r="G48" i="6" s="1"/>
  <c r="H41" i="7"/>
  <c r="F38" i="7"/>
  <c r="G38" i="7" s="1"/>
  <c r="H37" i="7"/>
  <c r="H40" i="7"/>
  <c r="H38" i="7"/>
  <c r="F39" i="7"/>
  <c r="G39" i="7" s="1"/>
  <c r="F40" i="7"/>
  <c r="G40" i="7" s="1"/>
  <c r="H39" i="7"/>
  <c r="F41" i="7"/>
  <c r="G41" i="7" s="1"/>
  <c r="F37" i="7"/>
  <c r="H39" i="6"/>
  <c r="F37" i="6"/>
  <c r="F40" i="6"/>
  <c r="G40" i="6" s="1"/>
  <c r="H40" i="6"/>
  <c r="F38" i="6"/>
  <c r="G38" i="6" s="1"/>
  <c r="H38" i="6"/>
  <c r="H37" i="6"/>
  <c r="F39" i="6"/>
  <c r="G39" i="6" s="1"/>
  <c r="H41" i="6"/>
  <c r="F41" i="6"/>
  <c r="G41" i="6" s="1"/>
  <c r="C37" i="6"/>
  <c r="C47" i="6"/>
  <c r="C37" i="7"/>
  <c r="S64" i="2"/>
  <c r="I105" i="2"/>
  <c r="I108" i="2" s="1"/>
  <c r="K26" i="3"/>
  <c r="H94" i="2" s="1"/>
  <c r="O89" i="3"/>
  <c r="M90" i="3"/>
  <c r="M88" i="3" s="1"/>
  <c r="J97" i="2" s="1"/>
  <c r="M48" i="3"/>
  <c r="M46" i="3" s="1"/>
  <c r="J95" i="2" s="1"/>
  <c r="O47" i="3"/>
  <c r="M68" i="3"/>
  <c r="R71" i="2" l="1"/>
  <c r="T71" i="2" s="1"/>
  <c r="R70" i="2"/>
  <c r="T70" i="2" s="1"/>
  <c r="D27" i="7"/>
  <c r="D32" i="7" s="1"/>
  <c r="N59" i="2"/>
  <c r="R59" i="2" s="1"/>
  <c r="T59" i="2" s="1"/>
  <c r="R34" i="2"/>
  <c r="T34" i="2" s="1"/>
  <c r="D47" i="7"/>
  <c r="D52" i="7" s="1"/>
  <c r="D37" i="7"/>
  <c r="D42" i="7" s="1"/>
  <c r="S108" i="2"/>
  <c r="I112" i="2"/>
  <c r="R43" i="2"/>
  <c r="T43" i="2" s="1"/>
  <c r="R16" i="2"/>
  <c r="T16" i="2" s="1"/>
  <c r="R17" i="2"/>
  <c r="T17" i="2" s="1"/>
  <c r="R48" i="2"/>
  <c r="T48" i="2" s="1"/>
  <c r="R47" i="2"/>
  <c r="T47" i="2" s="1"/>
  <c r="R61" i="2"/>
  <c r="T61" i="2" s="1"/>
  <c r="P46" i="2"/>
  <c r="R46" i="2" s="1"/>
  <c r="T46" i="2" s="1"/>
  <c r="R19" i="2"/>
  <c r="T19" i="2" s="1"/>
  <c r="N62" i="2"/>
  <c r="P37" i="2"/>
  <c r="P62" i="2" s="1"/>
  <c r="R21" i="2"/>
  <c r="T21" i="2" s="1"/>
  <c r="P60" i="2"/>
  <c r="R60" i="2" s="1"/>
  <c r="T60" i="2" s="1"/>
  <c r="R35" i="2"/>
  <c r="T35" i="2" s="1"/>
  <c r="R44" i="2"/>
  <c r="T44" i="2" s="1"/>
  <c r="L41" i="2"/>
  <c r="L39" i="2"/>
  <c r="J64" i="2"/>
  <c r="R36" i="2"/>
  <c r="T36" i="2" s="1"/>
  <c r="N42" i="2"/>
  <c r="N14" i="2"/>
  <c r="P15" i="2"/>
  <c r="N49" i="2"/>
  <c r="P22" i="2"/>
  <c r="P49" i="2" s="1"/>
  <c r="H62" i="7"/>
  <c r="N58" i="2"/>
  <c r="P33" i="2"/>
  <c r="P58" i="2" s="1"/>
  <c r="P51" i="2"/>
  <c r="R51" i="2" s="1"/>
  <c r="T51" i="2" s="1"/>
  <c r="P32" i="2"/>
  <c r="P57" i="2" s="1"/>
  <c r="N57" i="2"/>
  <c r="N55" i="2"/>
  <c r="P30" i="2"/>
  <c r="N25" i="2"/>
  <c r="N45" i="2"/>
  <c r="P18" i="2"/>
  <c r="R20" i="2"/>
  <c r="T20" i="2" s="1"/>
  <c r="F32" i="6"/>
  <c r="G27" i="6"/>
  <c r="G32" i="6" s="1"/>
  <c r="H52" i="6"/>
  <c r="G57" i="6"/>
  <c r="G62" i="6" s="1"/>
  <c r="F62" i="6"/>
  <c r="H42" i="7"/>
  <c r="H32" i="7"/>
  <c r="H62" i="6"/>
  <c r="F52" i="6"/>
  <c r="G47" i="6"/>
  <c r="G52" i="6" s="1"/>
  <c r="H42" i="6"/>
  <c r="G27" i="7"/>
  <c r="G32" i="7" s="1"/>
  <c r="F32" i="7"/>
  <c r="E27" i="7" s="1"/>
  <c r="H52" i="7"/>
  <c r="H32" i="6"/>
  <c r="H22" i="6"/>
  <c r="G17" i="6"/>
  <c r="G22" i="6" s="1"/>
  <c r="F22" i="6"/>
  <c r="G37" i="7"/>
  <c r="G42" i="7" s="1"/>
  <c r="F42" i="7"/>
  <c r="H22" i="7"/>
  <c r="G47" i="7"/>
  <c r="G52" i="7" s="1"/>
  <c r="F52" i="7"/>
  <c r="F22" i="7"/>
  <c r="G17" i="7"/>
  <c r="G22" i="7" s="1"/>
  <c r="G37" i="6"/>
  <c r="G42" i="6" s="1"/>
  <c r="F42" i="6"/>
  <c r="G57" i="7"/>
  <c r="G62" i="7" s="1"/>
  <c r="F62" i="7"/>
  <c r="E57" i="7" s="1"/>
  <c r="I61" i="7" s="1"/>
  <c r="J61" i="7" s="1"/>
  <c r="I106" i="2"/>
  <c r="S106" i="2" s="1"/>
  <c r="S105" i="2"/>
  <c r="Q47" i="3"/>
  <c r="O48" i="3"/>
  <c r="O46" i="3" s="1"/>
  <c r="L95" i="2" s="1"/>
  <c r="O68" i="3"/>
  <c r="M69" i="3"/>
  <c r="M67" i="3" s="1"/>
  <c r="J96" i="2" s="1"/>
  <c r="O90" i="3"/>
  <c r="O88" i="3" s="1"/>
  <c r="L97" i="2" s="1"/>
  <c r="S89" i="3"/>
  <c r="Q89" i="3"/>
  <c r="R22" i="2" l="1"/>
  <c r="T22" i="2" s="1"/>
  <c r="V16" i="2"/>
  <c r="E47" i="7"/>
  <c r="I47" i="7" s="1"/>
  <c r="J47" i="7" s="1"/>
  <c r="E37" i="7"/>
  <c r="I40" i="7" s="1"/>
  <c r="J40" i="7" s="1"/>
  <c r="R33" i="2"/>
  <c r="T33" i="2" s="1"/>
  <c r="R62" i="2"/>
  <c r="T62" i="2" s="1"/>
  <c r="N39" i="2"/>
  <c r="R57" i="2"/>
  <c r="T57" i="2" s="1"/>
  <c r="R37" i="2"/>
  <c r="T37" i="2" s="1"/>
  <c r="R58" i="2"/>
  <c r="T58" i="2" s="1"/>
  <c r="R49" i="2"/>
  <c r="T49" i="2" s="1"/>
  <c r="N41" i="2"/>
  <c r="P45" i="2"/>
  <c r="R45" i="2" s="1"/>
  <c r="T45" i="2" s="1"/>
  <c r="R18" i="2"/>
  <c r="T18" i="2" s="1"/>
  <c r="L64" i="2"/>
  <c r="P14" i="2"/>
  <c r="R14" i="2" s="1"/>
  <c r="T14" i="2" s="1"/>
  <c r="P42" i="2"/>
  <c r="P55" i="2"/>
  <c r="R55" i="2" s="1"/>
  <c r="T55" i="2" s="1"/>
  <c r="R30" i="2"/>
  <c r="T30" i="2" s="1"/>
  <c r="V30" i="2" s="1"/>
  <c r="P25" i="2"/>
  <c r="R25" i="2" s="1"/>
  <c r="T25" i="2" s="1"/>
  <c r="R15" i="2"/>
  <c r="T15" i="2" s="1"/>
  <c r="R32" i="2"/>
  <c r="T32" i="2" s="1"/>
  <c r="V32" i="2" s="1"/>
  <c r="I60" i="7"/>
  <c r="J60" i="7" s="1"/>
  <c r="I58" i="7"/>
  <c r="J58" i="7" s="1"/>
  <c r="I27" i="7"/>
  <c r="I28" i="7"/>
  <c r="J28" i="7" s="1"/>
  <c r="I30" i="7"/>
  <c r="J30" i="7" s="1"/>
  <c r="I31" i="7"/>
  <c r="J31" i="7" s="1"/>
  <c r="I59" i="7"/>
  <c r="J59" i="7" s="1"/>
  <c r="I57" i="7"/>
  <c r="I29" i="7"/>
  <c r="J29" i="7" s="1"/>
  <c r="D17" i="7"/>
  <c r="Q68" i="3"/>
  <c r="Q48" i="3"/>
  <c r="Q46" i="3" s="1"/>
  <c r="N95" i="2" s="1"/>
  <c r="S47" i="3"/>
  <c r="O69" i="3"/>
  <c r="O67" i="3" s="1"/>
  <c r="L96" i="2" s="1"/>
  <c r="Q90" i="3"/>
  <c r="Q88" i="3" s="1"/>
  <c r="N97" i="2" s="1"/>
  <c r="I50" i="7" l="1"/>
  <c r="J50" i="7" s="1"/>
  <c r="I49" i="7"/>
  <c r="J49" i="7" s="1"/>
  <c r="I48" i="7"/>
  <c r="J48" i="7" s="1"/>
  <c r="I51" i="7"/>
  <c r="J51" i="7" s="1"/>
  <c r="I41" i="7"/>
  <c r="J41" i="7" s="1"/>
  <c r="I39" i="7"/>
  <c r="J39" i="7" s="1"/>
  <c r="I37" i="7"/>
  <c r="I38" i="7"/>
  <c r="J38" i="7" s="1"/>
  <c r="P41" i="2"/>
  <c r="R41" i="2" s="1"/>
  <c r="T41" i="2" s="1"/>
  <c r="N64" i="2"/>
  <c r="P39" i="2"/>
  <c r="R39" i="2" s="1"/>
  <c r="T39" i="2" s="1"/>
  <c r="R42" i="2"/>
  <c r="T42" i="2" s="1"/>
  <c r="V15" i="2" s="1"/>
  <c r="I52" i="7"/>
  <c r="O111" i="2" s="1"/>
  <c r="O116" i="2" s="1"/>
  <c r="O119" i="2" s="1"/>
  <c r="I62" i="7"/>
  <c r="Q111" i="2" s="1"/>
  <c r="Q116" i="2" s="1"/>
  <c r="Q119" i="2" s="1"/>
  <c r="J57" i="7"/>
  <c r="J62" i="7" s="1"/>
  <c r="J27" i="7"/>
  <c r="J32" i="7" s="1"/>
  <c r="I32" i="7"/>
  <c r="K111" i="2" s="1"/>
  <c r="K116" i="2" s="1"/>
  <c r="K119" i="2" s="1"/>
  <c r="E17" i="7"/>
  <c r="D22" i="7"/>
  <c r="D12" i="7" s="1"/>
  <c r="Q69" i="3"/>
  <c r="Q67" i="3" s="1"/>
  <c r="N96" i="2" s="1"/>
  <c r="S68" i="3"/>
  <c r="S90" i="3"/>
  <c r="S88" i="3" s="1"/>
  <c r="P97" i="2" s="1"/>
  <c r="R97" i="2" s="1"/>
  <c r="T97" i="2" s="1"/>
  <c r="S48" i="3"/>
  <c r="S46" i="3" s="1"/>
  <c r="P95" i="2" s="1"/>
  <c r="R95" i="2" s="1"/>
  <c r="T95" i="2" s="1"/>
  <c r="I42" i="7" l="1"/>
  <c r="M111" i="2" s="1"/>
  <c r="M116" i="2" s="1"/>
  <c r="M119" i="2" s="1"/>
  <c r="J52" i="7"/>
  <c r="J37" i="7"/>
  <c r="J42" i="7" s="1"/>
  <c r="P64" i="2"/>
  <c r="R64" i="2" s="1"/>
  <c r="T64" i="2" s="1"/>
  <c r="I20" i="7"/>
  <c r="J20" i="7" s="1"/>
  <c r="I19" i="7"/>
  <c r="J19" i="7" s="1"/>
  <c r="I17" i="7"/>
  <c r="I18" i="7"/>
  <c r="J18" i="7" s="1"/>
  <c r="I21" i="7"/>
  <c r="J21" i="7" s="1"/>
  <c r="S69" i="3"/>
  <c r="S67" i="3" s="1"/>
  <c r="P96" i="2" s="1"/>
  <c r="R96" i="2" s="1"/>
  <c r="T96" i="2" s="1"/>
  <c r="I22" i="7" l="1"/>
  <c r="J17" i="7"/>
  <c r="J22" i="7" s="1"/>
  <c r="M7" i="3"/>
  <c r="M8" i="3"/>
  <c r="M6" i="3" l="1"/>
  <c r="J93" i="2" s="1"/>
  <c r="I12" i="7"/>
  <c r="Q7" i="3"/>
  <c r="I111" i="2" l="1"/>
  <c r="S112" i="2"/>
  <c r="K7" i="3"/>
  <c r="O7" i="3"/>
  <c r="S7" i="3"/>
  <c r="Q8" i="3"/>
  <c r="Q6" i="3" s="1"/>
  <c r="N93" i="2" s="1"/>
  <c r="I116" i="2" l="1"/>
  <c r="S111" i="2"/>
  <c r="O8" i="3"/>
  <c r="O6" i="3" s="1"/>
  <c r="L93" i="2" s="1"/>
  <c r="K8" i="3"/>
  <c r="K6" i="3" s="1"/>
  <c r="H93" i="2" s="1"/>
  <c r="S8" i="3"/>
  <c r="S6" i="3" s="1"/>
  <c r="P93" i="2" s="1"/>
  <c r="M27" i="3"/>
  <c r="M28" i="3"/>
  <c r="M26" i="3" l="1"/>
  <c r="J94" i="2" s="1"/>
  <c r="J81" i="2" s="1"/>
  <c r="H81" i="2"/>
  <c r="H105" i="2" s="1"/>
  <c r="R93" i="2"/>
  <c r="T93" i="2" s="1"/>
  <c r="S116" i="2"/>
  <c r="I119" i="2"/>
  <c r="S119" i="2" s="1"/>
  <c r="Q28" i="3"/>
  <c r="O28" i="3"/>
  <c r="Q27" i="3"/>
  <c r="Q26" i="3" s="1"/>
  <c r="N94" i="2" s="1"/>
  <c r="N81" i="2" s="1"/>
  <c r="N105" i="2" s="1"/>
  <c r="N108" i="2" s="1"/>
  <c r="N112" i="2" s="1"/>
  <c r="O27" i="3"/>
  <c r="O26" i="3" s="1"/>
  <c r="L94" i="2" s="1"/>
  <c r="L81" i="2" s="1"/>
  <c r="L105" i="2" s="1"/>
  <c r="L108" i="2" s="1"/>
  <c r="L112" i="2" s="1"/>
  <c r="H108" i="2" l="1"/>
  <c r="V111" i="2" s="1"/>
  <c r="V112" i="2"/>
  <c r="H112" i="2"/>
  <c r="D17" i="6"/>
  <c r="H106" i="2"/>
  <c r="D37" i="6"/>
  <c r="L106" i="2"/>
  <c r="J105" i="2"/>
  <c r="J108" i="2" s="1"/>
  <c r="J112" i="2" s="1"/>
  <c r="N106" i="2"/>
  <c r="D47" i="6"/>
  <c r="S27" i="3"/>
  <c r="S26" i="3" s="1"/>
  <c r="P94" i="2" s="1"/>
  <c r="P81" i="2" s="1"/>
  <c r="P105" i="2" s="1"/>
  <c r="P108" i="2" s="1"/>
  <c r="P112" i="2" s="1"/>
  <c r="S28" i="3"/>
  <c r="R108" i="2" l="1"/>
  <c r="T108" i="2" s="1"/>
  <c r="E17" i="6"/>
  <c r="D22" i="6"/>
  <c r="J106" i="2"/>
  <c r="R105" i="2"/>
  <c r="T105" i="2" s="1"/>
  <c r="D52" i="6"/>
  <c r="E47" i="6"/>
  <c r="R81" i="2"/>
  <c r="T81" i="2" s="1"/>
  <c r="R94" i="2"/>
  <c r="T94" i="2" s="1"/>
  <c r="D57" i="6"/>
  <c r="P106" i="2"/>
  <c r="D42" i="6"/>
  <c r="E37" i="6"/>
  <c r="I20" i="6" l="1"/>
  <c r="J20" i="6" s="1"/>
  <c r="I21" i="6"/>
  <c r="J21" i="6" s="1"/>
  <c r="I17" i="6"/>
  <c r="I19" i="6"/>
  <c r="J19" i="6" s="1"/>
  <c r="I18" i="6"/>
  <c r="J18" i="6" s="1"/>
  <c r="I40" i="6"/>
  <c r="J40" i="6" s="1"/>
  <c r="I37" i="6"/>
  <c r="I38" i="6"/>
  <c r="J38" i="6" s="1"/>
  <c r="I39" i="6"/>
  <c r="J39" i="6" s="1"/>
  <c r="I41" i="6"/>
  <c r="J41" i="6" s="1"/>
  <c r="D27" i="6"/>
  <c r="I51" i="6"/>
  <c r="J51" i="6" s="1"/>
  <c r="I49" i="6"/>
  <c r="J49" i="6" s="1"/>
  <c r="I48" i="6"/>
  <c r="J48" i="6" s="1"/>
  <c r="I47" i="6"/>
  <c r="I50" i="6"/>
  <c r="J50" i="6" s="1"/>
  <c r="D62" i="6"/>
  <c r="E57" i="6"/>
  <c r="R106" i="2"/>
  <c r="T106" i="2" s="1"/>
  <c r="I22" i="6" l="1"/>
  <c r="J17" i="6"/>
  <c r="J22" i="6" s="1"/>
  <c r="I60" i="6"/>
  <c r="J60" i="6" s="1"/>
  <c r="I61" i="6"/>
  <c r="J61" i="6" s="1"/>
  <c r="I59" i="6"/>
  <c r="J59" i="6" s="1"/>
  <c r="I58" i="6"/>
  <c r="J58" i="6" s="1"/>
  <c r="I57" i="6"/>
  <c r="J47" i="6"/>
  <c r="J52" i="6" s="1"/>
  <c r="I52" i="6"/>
  <c r="J37" i="6"/>
  <c r="J42" i="6" s="1"/>
  <c r="I42" i="6"/>
  <c r="D32" i="6"/>
  <c r="D12" i="6" s="1"/>
  <c r="E27" i="6"/>
  <c r="H111" i="2" l="1"/>
  <c r="H116" i="2" s="1"/>
  <c r="H119" i="2" s="1"/>
  <c r="L111" i="2"/>
  <c r="L116" i="2" s="1"/>
  <c r="L119" i="2" s="1"/>
  <c r="N111" i="2"/>
  <c r="N116" i="2" s="1"/>
  <c r="N119" i="2" s="1"/>
  <c r="I62" i="6"/>
  <c r="J57" i="6"/>
  <c r="J62" i="6" s="1"/>
  <c r="I29" i="6"/>
  <c r="J29" i="6" s="1"/>
  <c r="I27" i="6"/>
  <c r="I28" i="6"/>
  <c r="J28" i="6" s="1"/>
  <c r="I31" i="6"/>
  <c r="J31" i="6" s="1"/>
  <c r="I30" i="6"/>
  <c r="J30" i="6" s="1"/>
  <c r="P111" i="2" l="1"/>
  <c r="P116" i="2" s="1"/>
  <c r="P119" i="2" s="1"/>
  <c r="J27" i="6"/>
  <c r="J32" i="6" s="1"/>
  <c r="I32" i="6"/>
  <c r="I12" i="6" l="1"/>
  <c r="J111" i="2" l="1"/>
  <c r="R112" i="2"/>
  <c r="T112" i="2" s="1"/>
  <c r="R111" i="2" l="1"/>
  <c r="T111" i="2" s="1"/>
  <c r="J116" i="2"/>
  <c r="J119" i="2" l="1"/>
  <c r="R116" i="2"/>
  <c r="T116" i="2" l="1"/>
  <c r="R119" i="2"/>
  <c r="T119"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Sara Jane Oftelie</author>
    <author>Rich, Andrea K [S P]</author>
  </authors>
  <commentList>
    <comment ref="H93" authorId="0" shapeId="0" xr:uid="{2DF60195-0AEC-48DE-A1C7-4D54AAC42A09}">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3" authorId="0" shapeId="0" xr:uid="{00000000-0006-0000-0000-000002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L93" authorId="0" shapeId="0" xr:uid="{00000000-0006-0000-0000-000003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3" authorId="0" shapeId="0" xr:uid="{00000000-0006-0000-0000-000004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3" authorId="0" shapeId="0" xr:uid="{00000000-0006-0000-0000-000005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4" authorId="0" shapeId="0" xr:uid="{3443A9B5-DE44-455E-BA40-68376B9D0840}">
      <text>
        <r>
          <rPr>
            <b/>
            <sz val="9"/>
            <color rgb="FF000000"/>
            <rFont val="Tahoma"/>
            <family val="2"/>
          </rPr>
          <t>Please DO NOT type in this space - it will autofill from the TUITION sheet after you make your selections.</t>
        </r>
      </text>
    </comment>
    <comment ref="J94" authorId="0" shapeId="0" xr:uid="{00000000-0006-0000-0000-000007000000}">
      <text>
        <r>
          <rPr>
            <b/>
            <sz val="9"/>
            <color indexed="81"/>
            <rFont val="Tahoma"/>
            <family val="2"/>
          </rPr>
          <t>Please DO NOT type in this space - it will autofill from the TUITION sheet after you make your selections.</t>
        </r>
      </text>
    </comment>
    <comment ref="L94" authorId="0" shapeId="0" xr:uid="{00000000-0006-0000-0000-000008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4" authorId="0" shapeId="0" xr:uid="{00000000-0006-0000-0000-000009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4" authorId="0" shapeId="0" xr:uid="{00000000-0006-0000-0000-00000A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5" authorId="0" shapeId="0" xr:uid="{73DFC52B-FD45-48FC-AE5A-DA65D2E6C046}">
      <text>
        <r>
          <rPr>
            <b/>
            <sz val="9"/>
            <color indexed="81"/>
            <rFont val="Tahoma"/>
            <family val="2"/>
          </rPr>
          <t>Please DO NOT type in this space - it will autofill from the TUITION sheet after you make your selections.</t>
        </r>
      </text>
    </comment>
    <comment ref="J95" authorId="0" shapeId="0" xr:uid="{00000000-0006-0000-0000-00000C000000}">
      <text>
        <r>
          <rPr>
            <b/>
            <sz val="9"/>
            <color indexed="81"/>
            <rFont val="Tahoma"/>
            <family val="2"/>
          </rPr>
          <t>Please DO NOT type in this space - it will autofill from the TUITION sheet after you make your selections.</t>
        </r>
      </text>
    </comment>
    <comment ref="L95" authorId="0" shapeId="0" xr:uid="{00000000-0006-0000-0000-00000D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5" authorId="0" shapeId="0" xr:uid="{00000000-0006-0000-0000-00000E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5" authorId="0" shapeId="0" xr:uid="{00000000-0006-0000-0000-00000F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6" authorId="1" shapeId="0" xr:uid="{BBAF81B1-C271-4A46-80F3-E356043AD3EA}">
      <text>
        <r>
          <rPr>
            <b/>
            <sz val="9"/>
            <color rgb="FF000000"/>
            <rFont val="Tahoma"/>
            <family val="2"/>
          </rPr>
          <t>Please DO NOT type in this space - it will autofill from the TUITION sheet after you make your selections.</t>
        </r>
        <r>
          <rPr>
            <sz val="9"/>
            <color rgb="FF000000"/>
            <rFont val="Tahoma"/>
            <family val="2"/>
          </rPr>
          <t xml:space="preserve">
</t>
        </r>
      </text>
    </comment>
    <comment ref="J96" authorId="1" shapeId="0" xr:uid="{00000000-0006-0000-0000-000011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L96" authorId="1" shapeId="0" xr:uid="{00000000-0006-0000-0000-000012000000}">
      <text>
        <r>
          <rPr>
            <b/>
            <sz val="9"/>
            <color indexed="81"/>
            <rFont val="Tahoma"/>
            <family val="2"/>
          </rPr>
          <t xml:space="preserve">Please DO NOT type in this space - it will autofill from the TUITION sheet after you make your selections
</t>
        </r>
      </text>
    </comment>
    <comment ref="N96" authorId="1" shapeId="0" xr:uid="{00000000-0006-0000-0000-000013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6" authorId="1" shapeId="0" xr:uid="{00000000-0006-0000-0000-000014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List>
</comments>
</file>

<file path=xl/sharedStrings.xml><?xml version="1.0" encoding="utf-8"?>
<sst xmlns="http://schemas.openxmlformats.org/spreadsheetml/2006/main" count="1029" uniqueCount="316">
  <si>
    <t>Project Budget Worksheet - Iowa State University of Science and Technology</t>
  </si>
  <si>
    <t>Eff.7/1/25</t>
  </si>
  <si>
    <t>Start Date must be entered for each budget</t>
  </si>
  <si>
    <t>Updated 8/21/2025</t>
  </si>
  <si>
    <t>Program Sponsor</t>
  </si>
  <si>
    <t xml:space="preserve">Enter Start Date: </t>
  </si>
  <si>
    <t>This budget is completely adjustable.  You will need to double check your work and make adjustments in certain cells, such as:</t>
  </si>
  <si>
    <t>Title</t>
  </si>
  <si>
    <t xml:space="preserve">Enter other rate as percentage (if needed): </t>
  </si>
  <si>
    <t>Subcontracts - Verify that only the first $50K of each subcontract is charged IDC (burdenable).  You might need to adjust the MTDC for each year of each subcontract.</t>
  </si>
  <si>
    <t>Negotiated Rate</t>
  </si>
  <si>
    <t>Yes</t>
  </si>
  <si>
    <t>PI</t>
  </si>
  <si>
    <t xml:space="preserve">Select calculation type: </t>
  </si>
  <si>
    <t>Total Project Costs (USDA TFF)</t>
  </si>
  <si>
    <r>
      <t xml:space="preserve">Subcontracts </t>
    </r>
    <r>
      <rPr>
        <b/>
        <i/>
        <sz val="10"/>
        <color theme="1"/>
        <rFont val="Arial"/>
        <family val="2"/>
      </rPr>
      <t>may</t>
    </r>
    <r>
      <rPr>
        <b/>
        <sz val="10"/>
        <color theme="1"/>
        <rFont val="Arial"/>
        <family val="2"/>
      </rPr>
      <t xml:space="preserve"> be categorized by Direct and Indirect depending on your budget and whether these amounts affect an overall limit or the application of IDC.</t>
    </r>
  </si>
  <si>
    <t>Other TDC</t>
  </si>
  <si>
    <t>No</t>
  </si>
  <si>
    <t>Period of Performance</t>
  </si>
  <si>
    <t>Unrecovered IDC Allowed</t>
  </si>
  <si>
    <t>Indirect costs- Budget defaults to caculate on 55% MTDC.  To use a rate other than organized research, please enter rate in 'Enter Other Rate' cell and  select the correct rate type the in dropdown.</t>
  </si>
  <si>
    <t>Deadline</t>
  </si>
  <si>
    <t>For Total Project Costs (also used as the USDA NIFA Total Federal Funds calculation), enter the Total Direct Cost conversion rate.</t>
  </si>
  <si>
    <t>Other MTDC</t>
  </si>
  <si>
    <t>Year 1</t>
  </si>
  <si>
    <t>Year 2</t>
  </si>
  <si>
    <t>Year 3</t>
  </si>
  <si>
    <t>Year 4</t>
  </si>
  <si>
    <t>Year 5</t>
  </si>
  <si>
    <t>Total Sponsor Funds</t>
  </si>
  <si>
    <t>Total Cost-Shared Matching Funds</t>
  </si>
  <si>
    <t>Total Project Funds</t>
  </si>
  <si>
    <t>Start Date</t>
  </si>
  <si>
    <t>End Date</t>
  </si>
  <si>
    <t xml:space="preserve">Start Date </t>
  </si>
  <si>
    <t>Sponsor Funds Requested</t>
  </si>
  <si>
    <t>Cost-Shared  Matching Funds</t>
  </si>
  <si>
    <t>Salary</t>
  </si>
  <si>
    <t>Calendar</t>
  </si>
  <si>
    <t>Academic</t>
  </si>
  <si>
    <t>Summer</t>
  </si>
  <si>
    <t>A</t>
  </si>
  <si>
    <t>Key Personnel</t>
  </si>
  <si>
    <t>Monthly</t>
  </si>
  <si>
    <t>Months</t>
  </si>
  <si>
    <t>Brian K Gelder</t>
  </si>
  <si>
    <t>Ali Jannesari</t>
  </si>
  <si>
    <t>Number of</t>
  </si>
  <si>
    <t>B</t>
  </si>
  <si>
    <t>Other Personnel</t>
  </si>
  <si>
    <t>persons</t>
  </si>
  <si>
    <t>Post Doc</t>
  </si>
  <si>
    <t>Research Asst-Halftime</t>
  </si>
  <si>
    <t>Hourly Undergraduate student</t>
  </si>
  <si>
    <t>Daryl Herzmann</t>
  </si>
  <si>
    <t>P&amp;S</t>
  </si>
  <si>
    <t>Secretarial/Clerical</t>
  </si>
  <si>
    <t>Non-Student Hourly</t>
  </si>
  <si>
    <t>Subtotal: Salaries and Wages</t>
  </si>
  <si>
    <t>C</t>
  </si>
  <si>
    <t>Fringe Benefits</t>
  </si>
  <si>
    <t>Rate</t>
  </si>
  <si>
    <t>Subtotal: Salaries, Wages, and Benefits</t>
  </si>
  <si>
    <t>D</t>
  </si>
  <si>
    <r>
      <t xml:space="preserve">Equipment </t>
    </r>
    <r>
      <rPr>
        <b/>
        <sz val="10"/>
        <rFont val="Arial"/>
        <family val="2"/>
      </rPr>
      <t xml:space="preserve">(List Item and $ amount for each item </t>
    </r>
    <r>
      <rPr>
        <b/>
        <u/>
        <sz val="10"/>
        <rFont val="Arial"/>
        <family val="2"/>
      </rPr>
      <t>&gt;</t>
    </r>
    <r>
      <rPr>
        <b/>
        <sz val="10"/>
        <rFont val="Arial"/>
        <family val="2"/>
      </rPr>
      <t xml:space="preserve"> $5k)</t>
    </r>
  </si>
  <si>
    <t>E</t>
  </si>
  <si>
    <t>Travel</t>
  </si>
  <si>
    <t>1. Domestic Travel</t>
  </si>
  <si>
    <t>2. Foreign Travel</t>
  </si>
  <si>
    <t>F</t>
  </si>
  <si>
    <t>Participant Support Cost</t>
  </si>
  <si>
    <t>http://www.controller.iastate.edu/spa/PSC.pdf</t>
  </si>
  <si>
    <t>1. Stipend</t>
  </si>
  <si>
    <t>2. Travel</t>
  </si>
  <si>
    <t>3. Tuition/Fees/Health Insurance</t>
  </si>
  <si>
    <t>4. Subsistence</t>
  </si>
  <si>
    <t>4. Other</t>
  </si>
  <si>
    <t>G</t>
  </si>
  <si>
    <t>Other Direct Costs</t>
  </si>
  <si>
    <t>Materials and Supplies</t>
  </si>
  <si>
    <t>Publication costs</t>
  </si>
  <si>
    <t>Consultant/Professional Services</t>
  </si>
  <si>
    <t>Computer Services</t>
  </si>
  <si>
    <t>Equipment or Facility Rental - User Fees</t>
  </si>
  <si>
    <t>Off Site Facility/Rental Fees (no IDC)</t>
  </si>
  <si>
    <t>Alterations and Renovations (no IDC)</t>
  </si>
  <si>
    <r>
      <t xml:space="preserve">Subawards- Direct Costs Burdenable </t>
    </r>
    <r>
      <rPr>
        <i/>
        <sz val="10"/>
        <rFont val="Arial"/>
        <family val="2"/>
      </rPr>
      <t>(up to first 50K of each subcontract)</t>
    </r>
  </si>
  <si>
    <t>Subawards- Direct Costs Nonburdenable</t>
  </si>
  <si>
    <r>
      <t>Subawards - Indirect Costs Burdenable</t>
    </r>
    <r>
      <rPr>
        <i/>
        <sz val="10"/>
        <rFont val="Arial"/>
        <family val="2"/>
      </rPr>
      <t xml:space="preserve"> (up to first 50K of each subcontract)</t>
    </r>
  </si>
  <si>
    <t>Subawards- Indirect Costs Nonburdenable</t>
  </si>
  <si>
    <t>Tuition-Most majors</t>
  </si>
  <si>
    <t>https://www.grad-college.iastate.edu/handbook/chapter.php?id=3</t>
  </si>
  <si>
    <t>(Click on "Tuition" sheet)</t>
  </si>
  <si>
    <t>Tuition-Bus, ENGR &amp; Seed Tech</t>
  </si>
  <si>
    <t>Tuition-ABE</t>
  </si>
  <si>
    <t>Tuition-Specific Grad Depts</t>
  </si>
  <si>
    <t>Tuition-Experiential Learning Majors</t>
  </si>
  <si>
    <t>3.3.1 Graduate Assistantship</t>
  </si>
  <si>
    <r>
      <t>Trainee - Tuition</t>
    </r>
    <r>
      <rPr>
        <i/>
        <sz val="10"/>
        <rFont val="Arial"/>
        <family val="2"/>
      </rPr>
      <t xml:space="preserve"> (only for specific S2S training grants)</t>
    </r>
  </si>
  <si>
    <t>Postage</t>
  </si>
  <si>
    <t>Telecom Charges</t>
  </si>
  <si>
    <t>Other</t>
  </si>
  <si>
    <t>Other- Planet Imagery</t>
  </si>
  <si>
    <t>Third Party Cost Share - Cash</t>
  </si>
  <si>
    <t>Subtotal: Total Direct Costs (TDC)</t>
  </si>
  <si>
    <t>Alternate Subtotal: Total Direct Costs Minus Subs</t>
  </si>
  <si>
    <t>Subtotal: Modified Total Direct Costs</t>
  </si>
  <si>
    <t>[ MTDC = TDC - Tuition - Equipment - Participant Support Cost ]</t>
  </si>
  <si>
    <t>H</t>
  </si>
  <si>
    <t>Indirect Costs</t>
  </si>
  <si>
    <t>55% IDC on TDC</t>
  </si>
  <si>
    <t>42.85% IDC on MTDC</t>
  </si>
  <si>
    <t>Unrecovered F&amp;A Used as Cost Share</t>
  </si>
  <si>
    <t>I</t>
  </si>
  <si>
    <t>Total Direct + Indirect Costs</t>
  </si>
  <si>
    <t>In Kind Cost Share</t>
  </si>
  <si>
    <t>Third Party Cost Share - In Kind</t>
  </si>
  <si>
    <t>J</t>
  </si>
  <si>
    <t>GoldSheet Total</t>
  </si>
  <si>
    <r>
      <rPr>
        <b/>
        <u/>
        <sz val="10"/>
        <color indexed="10"/>
        <rFont val="Arial"/>
        <family val="2"/>
      </rPr>
      <t>NOTES</t>
    </r>
    <r>
      <rPr>
        <b/>
        <sz val="10"/>
        <color indexed="10"/>
        <rFont val="Arial"/>
        <family val="2"/>
      </rPr>
      <t>:</t>
    </r>
  </si>
  <si>
    <t>This budget is completely adjustable.  As such, you will need to double check your work and make adjustments in certain cells, such as:</t>
  </si>
  <si>
    <r>
      <rPr>
        <b/>
        <u/>
        <sz val="10"/>
        <color indexed="10"/>
        <rFont val="Arial"/>
        <family val="2"/>
      </rPr>
      <t>Subcontracts</t>
    </r>
    <r>
      <rPr>
        <b/>
        <sz val="10"/>
        <color indexed="10"/>
        <rFont val="Arial"/>
        <family val="2"/>
      </rPr>
      <t xml:space="preserve"> - Verify that only the first $50K of each subcontract is charged IDC.  You might need to adjust the MTDC for each year of each subcontract.</t>
    </r>
  </si>
  <si>
    <r>
      <rPr>
        <b/>
        <u/>
        <sz val="10"/>
        <color indexed="10"/>
        <rFont val="Arial"/>
        <family val="2"/>
      </rPr>
      <t>Benefits (FY25)</t>
    </r>
    <r>
      <rPr>
        <b/>
        <sz val="10"/>
        <color indexed="10"/>
        <rFont val="Arial"/>
        <family val="2"/>
      </rPr>
      <t>:</t>
    </r>
  </si>
  <si>
    <t>Indirect Cost Categories:</t>
  </si>
  <si>
    <t>Total Project Cost F&amp;A Rate Calculation:</t>
  </si>
  <si>
    <t>Faculty</t>
  </si>
  <si>
    <t xml:space="preserve">Graduate Assistant </t>
  </si>
  <si>
    <t>On-Campus Organized Research</t>
  </si>
  <si>
    <t>On Campus Instruction</t>
  </si>
  <si>
    <t>Total Project Cost F&amp;A Rate (USDA NIFA TFF Rate)</t>
  </si>
  <si>
    <t>On-Campus Other Sponsored Activities</t>
  </si>
  <si>
    <t>Merit</t>
  </si>
  <si>
    <t>Off-Campus All Programs</t>
  </si>
  <si>
    <t>F&amp;A Rate on Total Direct Cost*</t>
  </si>
  <si>
    <t>Student hourly</t>
  </si>
  <si>
    <t>*F&amp;A Rate to enter in G4</t>
  </si>
  <si>
    <t>Non-Student hourly</t>
  </si>
  <si>
    <t>Americorps</t>
  </si>
  <si>
    <t>Misc.</t>
  </si>
  <si>
    <t xml:space="preserve"> </t>
  </si>
  <si>
    <t>Tool to Calculate Split F&amp;A Rates for a Project Period</t>
  </si>
  <si>
    <t>INSTRUCTIONS:</t>
  </si>
  <si>
    <t>Use this tool to help you calculate split F&amp;A for budgeting purposes. By entering the Project Budget amount, and start and end dates, this tool will calculate the correct F&amp;A rate for the period.</t>
  </si>
  <si>
    <r>
      <t xml:space="preserve">The only fields needed are the </t>
    </r>
    <r>
      <rPr>
        <b/>
        <sz val="10"/>
        <rFont val="Arial"/>
        <family val="2"/>
      </rPr>
      <t>Start Date, End Date</t>
    </r>
    <r>
      <rPr>
        <sz val="10"/>
        <rFont val="Arial"/>
        <family val="2"/>
      </rPr>
      <t xml:space="preserve">, and the </t>
    </r>
    <r>
      <rPr>
        <b/>
        <sz val="10"/>
        <rFont val="Arial"/>
        <family val="2"/>
      </rPr>
      <t>Modified Total Direct Cost Amount</t>
    </r>
    <r>
      <rPr>
        <sz val="10"/>
        <rFont val="Arial"/>
        <family val="2"/>
      </rPr>
      <t>. This tool will calculate the F&amp;A rate and amount based on the reference table shown.</t>
    </r>
  </si>
  <si>
    <t>Please be aware that if your Project period Start and End dates span multiple F&amp;A effective dates, you will need to add the additional effective dates and rates to the Project Activity&gt;FA Rates tab in EFS.</t>
  </si>
  <si>
    <r>
      <t xml:space="preserve">See the job aid: </t>
    </r>
    <r>
      <rPr>
        <b/>
        <sz val="10"/>
        <rFont val="Arial"/>
        <family val="2"/>
      </rPr>
      <t>Setting up F&amp;A on a Project Using Split Rates</t>
    </r>
  </si>
  <si>
    <t>This tool is set up to accommodate up to 7 separate Project Budget periods and will provide a Grand Total of all budget periods.</t>
  </si>
  <si>
    <t>Total MTDC</t>
  </si>
  <si>
    <t>Total F&amp;A</t>
  </si>
  <si>
    <t>PROJECT GRAND TOTALS:</t>
  </si>
  <si>
    <t>1st Budget Period</t>
  </si>
  <si>
    <t>Enter</t>
  </si>
  <si>
    <t>Calculated</t>
  </si>
  <si>
    <t>Enter Amount:</t>
  </si>
  <si>
    <t>Reference Only 
Rate Table:</t>
  </si>
  <si>
    <t>Dates:</t>
  </si>
  <si>
    <t>Total # Months</t>
  </si>
  <si>
    <t>Total MTDC for the Period</t>
  </si>
  <si>
    <t>MTDC Daily Rate</t>
  </si>
  <si>
    <t>Days at Rate</t>
  </si>
  <si>
    <t>Months at Rate</t>
  </si>
  <si>
    <t>Use Rate</t>
  </si>
  <si>
    <t>F&amp;A Amount</t>
  </si>
  <si>
    <t>MTDC Amount</t>
  </si>
  <si>
    <t>Use F&amp;A Rate Effective Date</t>
  </si>
  <si>
    <t>F&amp;A Rate End</t>
  </si>
  <si>
    <t>F&amp;A Rate %</t>
  </si>
  <si>
    <t>Project Start Date</t>
  </si>
  <si>
    <t>Project End Date</t>
  </si>
  <si>
    <t>Totals:</t>
  </si>
  <si>
    <t>2nd Budget Period</t>
  </si>
  <si>
    <t>3rd Budget Period</t>
  </si>
  <si>
    <t>4th Budget Period</t>
  </si>
  <si>
    <t>5th Budget Period</t>
  </si>
  <si>
    <t>6th Budget Period</t>
  </si>
  <si>
    <t>7th Budget Period</t>
  </si>
  <si>
    <t xml:space="preserve">           Tuition Costs</t>
  </si>
  <si>
    <t>Funds Requested</t>
  </si>
  <si>
    <r>
      <t xml:space="preserve">Graduate Student Tuition </t>
    </r>
    <r>
      <rPr>
        <b/>
        <sz val="12"/>
        <rFont val="Arial"/>
        <family val="2"/>
      </rPr>
      <t>(most majors)</t>
    </r>
  </si>
  <si>
    <t>select 1/4-time/1/2-time &gt; &gt;</t>
  </si>
  <si>
    <t>1/2-time</t>
  </si>
  <si>
    <t>Graduate Student Tuition</t>
  </si>
  <si>
    <t>Maximum</t>
  </si>
  <si>
    <t>Minimum</t>
  </si>
  <si>
    <t>Graduate Student Tuition (most majors)</t>
  </si>
  <si>
    <r>
      <t>Masters Students</t>
    </r>
    <r>
      <rPr>
        <sz val="10"/>
        <rFont val="Arial"/>
        <family val="2"/>
      </rPr>
      <t xml:space="preserve"> (enter no. of students per term)</t>
    </r>
  </si>
  <si>
    <t>Summer 2026</t>
  </si>
  <si>
    <t>Summer 2027</t>
  </si>
  <si>
    <t>Summer 2028</t>
  </si>
  <si>
    <t>Summer 2029</t>
  </si>
  <si>
    <t>Summer 2030</t>
  </si>
  <si>
    <t>Fall</t>
  </si>
  <si>
    <t>Fall 2026</t>
  </si>
  <si>
    <t>Fall 2027</t>
  </si>
  <si>
    <t>Fall 2028</t>
  </si>
  <si>
    <t>Fall 2029</t>
  </si>
  <si>
    <t>Fall 2030</t>
  </si>
  <si>
    <t>Spring</t>
  </si>
  <si>
    <t>Spring 2026</t>
  </si>
  <si>
    <t>Spring 2027</t>
  </si>
  <si>
    <t>Spring 2028</t>
  </si>
  <si>
    <t>Spring 2029</t>
  </si>
  <si>
    <t>Spring 2030</t>
  </si>
  <si>
    <r>
      <t>PhD Students</t>
    </r>
    <r>
      <rPr>
        <sz val="10"/>
        <rFont val="Arial"/>
        <family val="2"/>
      </rPr>
      <t xml:space="preserve"> (enter no. of students per term)</t>
    </r>
  </si>
  <si>
    <r>
      <t xml:space="preserve">Graduate Student Tuition </t>
    </r>
    <r>
      <rPr>
        <b/>
        <sz val="12"/>
        <rFont val="Arial"/>
        <family val="2"/>
      </rPr>
      <t>(Business, Engineering &amp; Seed Tech)</t>
    </r>
  </si>
  <si>
    <t>Business, Engineering &amp; Seed Tech Students Only</t>
  </si>
  <si>
    <r>
      <t xml:space="preserve">Graduate Student Tuition </t>
    </r>
    <r>
      <rPr>
        <b/>
        <sz val="12"/>
        <rFont val="Arial"/>
        <family val="2"/>
      </rPr>
      <t>(ABE: Ag &amp; Biotech Engineering)</t>
    </r>
  </si>
  <si>
    <t>Ag &amp; Biotech Engineering (ABE) Students Only</t>
  </si>
  <si>
    <t>Summer 2031</t>
  </si>
  <si>
    <t>Spring 2031</t>
  </si>
  <si>
    <r>
      <t xml:space="preserve">Graduate Student Tuition </t>
    </r>
    <r>
      <rPr>
        <b/>
        <sz val="12"/>
        <rFont val="Arial"/>
        <family val="2"/>
      </rPr>
      <t>(*Specific Graduate Departments)</t>
    </r>
  </si>
  <si>
    <t>*Specific Graduate Departments</t>
  </si>
  <si>
    <t>*Animal Sci, Comp Sci, GDCB, Microbiology, Plant Path, EEOB, Industrial Design, NREM, Architecture</t>
  </si>
  <si>
    <r>
      <t xml:space="preserve">Graduate Student Tuition </t>
    </r>
    <r>
      <rPr>
        <b/>
        <sz val="12"/>
        <rFont val="Arial"/>
        <family val="2"/>
      </rPr>
      <t>(Experiential Learning)</t>
    </r>
  </si>
  <si>
    <t>Experiential Learning Based Majors</t>
  </si>
  <si>
    <t>Masters - 1/4</t>
  </si>
  <si>
    <t>Masters - 1/2</t>
  </si>
  <si>
    <t>PhD - 1/4</t>
  </si>
  <si>
    <t>PhD - 1/2</t>
  </si>
  <si>
    <t>esc. Rate</t>
  </si>
  <si>
    <t>Fall25/Spring 26 Current Rates:</t>
  </si>
  <si>
    <t>Graduate (most majors)</t>
  </si>
  <si>
    <t xml:space="preserve">Most Majors </t>
  </si>
  <si>
    <t>1/4-time</t>
  </si>
  <si>
    <t>Ag and Biosystems</t>
  </si>
  <si>
    <t>Business, Eng., and Seed Tech</t>
  </si>
  <si>
    <t>Fall 2025</t>
  </si>
  <si>
    <t>Experiential Learning</t>
  </si>
  <si>
    <t>Specific Grad Departments &amp; Architecture</t>
  </si>
  <si>
    <t>Summer 26 Current Rates:</t>
  </si>
  <si>
    <t>Fall 2031</t>
  </si>
  <si>
    <t>Fall 2032</t>
  </si>
  <si>
    <t>Graduate Student Mandatory Fees</t>
  </si>
  <si>
    <t>Year</t>
  </si>
  <si>
    <t>Fall/Spring</t>
  </si>
  <si>
    <t>2024 Fall Rates &amp; 2025 Spring/Summer Rates</t>
  </si>
  <si>
    <t>Fall 25</t>
  </si>
  <si>
    <t>Spring 26</t>
  </si>
  <si>
    <t>Summer 26</t>
  </si>
  <si>
    <t>2025 Fall Rates &amp; 2026 Spring/Summer Rates</t>
  </si>
  <si>
    <t>Fall 26</t>
  </si>
  <si>
    <t>Spring 27</t>
  </si>
  <si>
    <t>Summer 27</t>
  </si>
  <si>
    <t>2026 Fall Rates &amp; 2027 Spring/Summer Rates</t>
  </si>
  <si>
    <t>Fall 27</t>
  </si>
  <si>
    <t>Spring 28</t>
  </si>
  <si>
    <t>Summer 28</t>
  </si>
  <si>
    <t>Spring 2032</t>
  </si>
  <si>
    <t>2027 Fall Rates &amp; 2028 Spring/Summer Rates</t>
  </si>
  <si>
    <t>Fall 28</t>
  </si>
  <si>
    <t>Spring 29</t>
  </si>
  <si>
    <t>Summer 29</t>
  </si>
  <si>
    <t>Spring 2033</t>
  </si>
  <si>
    <t>2028 Fall Rates &amp; 2029 Spring/Summer Rates</t>
  </si>
  <si>
    <t>Fall 29</t>
  </si>
  <si>
    <t>Spring 30</t>
  </si>
  <si>
    <t>Summer 30</t>
  </si>
  <si>
    <t>2029 Fall Rates &amp; 2030 Spring/Summer Rates</t>
  </si>
  <si>
    <t>Fall 30</t>
  </si>
  <si>
    <t>Spring 31</t>
  </si>
  <si>
    <t>Summer 31</t>
  </si>
  <si>
    <t>2030 Fall Rates &amp; 2031 Spring/Summer Rates</t>
  </si>
  <si>
    <t>Fall 31</t>
  </si>
  <si>
    <t>Spring 32</t>
  </si>
  <si>
    <t>Summer 32</t>
  </si>
  <si>
    <t>2031 Fall Rates &amp; 2032 Spring/Summer Rates</t>
  </si>
  <si>
    <t>Fall 32</t>
  </si>
  <si>
    <t>Spring 33</t>
  </si>
  <si>
    <t>Summer 33</t>
  </si>
  <si>
    <t>2032 Fall Rates &amp; 2033 Spring/Summer Rates</t>
  </si>
  <si>
    <t>Fall 33</t>
  </si>
  <si>
    <t>Spring 34</t>
  </si>
  <si>
    <t>Summer 34</t>
  </si>
  <si>
    <t>2033 Fall Rates &amp; 2034 Spring/Summer Rates</t>
  </si>
  <si>
    <t>Fall 34</t>
  </si>
  <si>
    <t>Spring 35</t>
  </si>
  <si>
    <t>Summer 35</t>
  </si>
  <si>
    <t>Summer 2032</t>
  </si>
  <si>
    <t>Summer 2033</t>
  </si>
  <si>
    <t xml:space="preserve"> (Business, Engineering &amp; Seed Tech)</t>
  </si>
  <si>
    <t>Masters - Min</t>
  </si>
  <si>
    <t>Masters-Max</t>
  </si>
  <si>
    <t>PhD - Min</t>
  </si>
  <si>
    <t>PhD - Max</t>
  </si>
  <si>
    <t>ABE - Ag &amp; Biotech Engineering</t>
  </si>
  <si>
    <t>Specific Graduate Departments</t>
  </si>
  <si>
    <t>Iowa State Travel Policies: http://www.controller.iastate.edu/travelinformation/homepage.htm</t>
  </si>
  <si>
    <t>Iowa State Mileage Guide: http://www.controller.iastate.edu/travelinformation/mileageguideiowa.pdf</t>
  </si>
  <si>
    <t>Domestic Travel</t>
  </si>
  <si>
    <t xml:space="preserve">Lodging  </t>
  </si>
  <si>
    <t>Meals</t>
  </si>
  <si>
    <t>Purpose &amp; Destination</t>
  </si>
  <si>
    <t># of People</t>
  </si>
  <si>
    <t>Airfare/ Person</t>
  </si>
  <si>
    <t># Nights</t>
  </si>
  <si>
    <t>Rate per Night</t>
  </si>
  <si>
    <t>Lodging Total</t>
  </si>
  <si>
    <t># Meal Days</t>
  </si>
  <si>
    <t>Meal Cost per Day</t>
  </si>
  <si>
    <t>Meal Total</t>
  </si>
  <si>
    <t>Ground Transportation</t>
  </si>
  <si>
    <t>Registration Per Person</t>
  </si>
  <si>
    <t>TOTAL</t>
  </si>
  <si>
    <t>NeurIPS - student</t>
  </si>
  <si>
    <t>NeurIPS - academic</t>
  </si>
  <si>
    <t>Fieldwork</t>
  </si>
  <si>
    <t>AWRA GWTC - student</t>
  </si>
  <si>
    <t>AWRA GWTC - faculty</t>
  </si>
  <si>
    <t>Year 2 Total</t>
  </si>
  <si>
    <t>AWRA Meeting</t>
  </si>
  <si>
    <t>Year 3 Total</t>
  </si>
  <si>
    <t>Year 4 Total</t>
  </si>
  <si>
    <t>Year 5 Total</t>
  </si>
  <si>
    <t>Dept of State Per Diem Rates: https://aoprals.state.gov/web920/per_diem.asp</t>
  </si>
  <si>
    <t>International Travel</t>
  </si>
  <si>
    <t>Year 1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</si>
</sst>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quot;$&quot;#,##0"/>
    <numFmt numFmtId="165" formatCode="&quot;$&quot;#,##0.00"/>
    <numFmt numFmtId="166" formatCode="0.0%"/>
    <numFmt numFmtId="167" formatCode="mm/dd/yy;@"/>
    <numFmt numFmtId="168" formatCode="&quot;$&quot;#,##0\ ;\(&quot;$&quot;#,##0\)"/>
    <numFmt numFmtId="169" formatCode="_(* #,##0.000_);_(* \(#,##0.000\);_(* &quot;-&quot;???_);_(@_)"/>
    <numFmt numFmtId="170" formatCode="0.000%"/>
    <numFmt numFmtId="171" formatCode="_(&quot;$&quot;* #,##0_);_(&quot;$&quot;* \(#,##0\);_(&quot;$&quot;* &quot;-&quot;??_);_(@_)"/>
  </numFmts>
  <fonts count="69">
    <font>
      <sz val="10"/>
      <name val="Arial"/>
    </font>
    <font>
      <sz val="11"/>
      <color theme="1"/>
      <name val="Calibri"/>
      <family val="2"/>
      <scheme val="minor"/>
    </font>
    <font>
      <sz val="11"/>
      <color theme="1"/>
      <name val="Calibri"/>
      <family val="2"/>
      <scheme val="minor"/>
    </font>
    <font>
      <sz val="10"/>
      <name val="Arial"/>
      <family val="2"/>
    </font>
    <font>
      <u/>
      <sz val="8.5"/>
      <color indexed="12"/>
      <name val="Arial"/>
      <family val="2"/>
    </font>
    <font>
      <sz val="8"/>
      <name val="Arial"/>
      <family val="2"/>
    </font>
    <font>
      <b/>
      <sz val="14"/>
      <color indexed="9"/>
      <name val="Arial"/>
      <family val="2"/>
    </font>
    <font>
      <sz val="8"/>
      <color indexed="10"/>
      <name val="Arial"/>
      <family val="2"/>
    </font>
    <font>
      <b/>
      <sz val="10"/>
      <color indexed="9"/>
      <name val="Arial"/>
      <family val="2"/>
    </font>
    <font>
      <b/>
      <sz val="12"/>
      <color indexed="9"/>
      <name val="Arial"/>
      <family val="2"/>
    </font>
    <font>
      <b/>
      <sz val="12"/>
      <name val="Arial"/>
      <family val="2"/>
    </font>
    <font>
      <sz val="12"/>
      <name val="Arial"/>
      <family val="2"/>
    </font>
    <font>
      <sz val="10"/>
      <name val="Arial"/>
      <family val="2"/>
    </font>
    <font>
      <b/>
      <sz val="10"/>
      <name val="Arial"/>
      <family val="2"/>
    </font>
    <font>
      <b/>
      <sz val="10"/>
      <color indexed="10"/>
      <name val="Arial"/>
      <family val="2"/>
    </font>
    <font>
      <sz val="10"/>
      <name val="Arial"/>
      <family val="2"/>
    </font>
    <font>
      <u/>
      <sz val="10"/>
      <color indexed="12"/>
      <name val="Arial"/>
      <family val="2"/>
    </font>
    <font>
      <sz val="8"/>
      <color indexed="22"/>
      <name val="Arial"/>
      <family val="2"/>
    </font>
    <font>
      <b/>
      <sz val="10"/>
      <color indexed="22"/>
      <name val="Arial"/>
      <family val="2"/>
    </font>
    <font>
      <sz val="10"/>
      <color indexed="22"/>
      <name val="Arial"/>
      <family val="2"/>
    </font>
    <font>
      <b/>
      <u/>
      <sz val="10"/>
      <color indexed="10"/>
      <name val="Arial"/>
      <family val="2"/>
    </font>
    <font>
      <b/>
      <u/>
      <sz val="10"/>
      <name val="Arial"/>
      <family val="2"/>
    </font>
    <font>
      <b/>
      <sz val="10"/>
      <color rgb="FFFF0000"/>
      <name val="Arial"/>
      <family val="2"/>
    </font>
    <font>
      <b/>
      <sz val="12"/>
      <color indexed="10"/>
      <name val="Arial"/>
      <family val="2"/>
    </font>
    <font>
      <sz val="9"/>
      <name val="Arial"/>
      <family val="2"/>
    </font>
    <font>
      <b/>
      <u/>
      <sz val="10"/>
      <color indexed="8"/>
      <name val="Arial"/>
      <family val="2"/>
    </font>
    <font>
      <sz val="10"/>
      <color indexed="8"/>
      <name val="Arial"/>
      <family val="2"/>
    </font>
    <font>
      <b/>
      <sz val="8"/>
      <color theme="1"/>
      <name val="Arial"/>
      <family val="2"/>
    </font>
    <font>
      <sz val="10"/>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name val="Arial"/>
      <family val="2"/>
    </font>
    <font>
      <sz val="10"/>
      <color rgb="FFFF0000"/>
      <name val="Arial"/>
      <family val="2"/>
    </font>
    <font>
      <sz val="10"/>
      <color theme="0" tint="-0.14999847407452621"/>
      <name val="Arial"/>
      <family val="2"/>
    </font>
    <font>
      <b/>
      <sz val="10"/>
      <color theme="1"/>
      <name val="Arial"/>
      <family val="2"/>
    </font>
    <font>
      <sz val="12"/>
      <color indexed="9"/>
      <name val="Arial"/>
      <family val="2"/>
    </font>
    <font>
      <b/>
      <sz val="12"/>
      <color theme="1"/>
      <name val="Arial"/>
      <family val="2"/>
    </font>
    <font>
      <sz val="8"/>
      <color theme="0"/>
      <name val="Arial"/>
      <family val="2"/>
    </font>
    <font>
      <b/>
      <sz val="12"/>
      <color theme="4" tint="0.39997558519241921"/>
      <name val="Arial"/>
      <family val="2"/>
    </font>
    <font>
      <b/>
      <sz val="11"/>
      <color theme="0"/>
      <name val="Times New Roman"/>
      <family val="1"/>
    </font>
    <font>
      <b/>
      <i/>
      <sz val="11"/>
      <color theme="0"/>
      <name val="Times New Roman"/>
      <family val="1"/>
    </font>
    <font>
      <sz val="11"/>
      <name val="Times New Roman"/>
      <family val="1"/>
    </font>
    <font>
      <i/>
      <sz val="11"/>
      <name val="Times New Roman"/>
      <family val="1"/>
    </font>
    <font>
      <b/>
      <sz val="11"/>
      <color theme="1"/>
      <name val="Times New Roman"/>
      <family val="1"/>
    </font>
    <font>
      <b/>
      <i/>
      <sz val="11"/>
      <color theme="1"/>
      <name val="Times New Roman"/>
      <family val="1"/>
    </font>
    <font>
      <u/>
      <sz val="12"/>
      <color indexed="12"/>
      <name val="Arial"/>
      <family val="2"/>
    </font>
    <font>
      <u/>
      <sz val="11"/>
      <color indexed="12"/>
      <name val="Arial"/>
      <family val="2"/>
    </font>
    <font>
      <sz val="8"/>
      <name val="Arial"/>
      <family val="2"/>
    </font>
    <font>
      <sz val="10"/>
      <name val="Arial"/>
      <family val="2"/>
    </font>
    <font>
      <b/>
      <i/>
      <sz val="10"/>
      <color theme="1"/>
      <name val="Arial"/>
      <family val="2"/>
    </font>
    <font>
      <i/>
      <sz val="10"/>
      <name val="Arial"/>
      <family val="2"/>
    </font>
    <font>
      <b/>
      <sz val="9"/>
      <color rgb="FF000000"/>
      <name val="Tahoma"/>
      <family val="2"/>
    </font>
    <font>
      <sz val="9"/>
      <color rgb="FF000000"/>
      <name val="Tahoma"/>
      <family val="2"/>
    </font>
  </fonts>
  <fills count="62">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9"/>
        <bgColor indexed="64"/>
      </patternFill>
    </fill>
    <fill>
      <patternFill patternType="solid">
        <fgColor indexed="41"/>
        <bgColor indexed="64"/>
      </patternFill>
    </fill>
    <fill>
      <patternFill patternType="solid">
        <fgColor rgb="FFC0C0C0"/>
        <bgColor indexed="64"/>
      </patternFill>
    </fill>
    <fill>
      <patternFill patternType="solid">
        <fgColor rgb="FFFFFF99"/>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9"/>
        <bgColor indexed="64"/>
      </patternFill>
    </fill>
    <fill>
      <patternFill patternType="solid">
        <fgColor rgb="FF92D050"/>
        <bgColor indexed="64"/>
      </patternFill>
    </fill>
    <fill>
      <patternFill patternType="solid">
        <fgColor theme="4" tint="0.79998168889431442"/>
        <bgColor indexed="64"/>
      </patternFill>
    </fill>
    <fill>
      <patternFill patternType="solid">
        <fgColor theme="0"/>
        <bgColor indexed="64"/>
      </patternFill>
    </fill>
    <fill>
      <patternFill patternType="solid">
        <fgColor theme="3"/>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50637C"/>
        <bgColor indexed="64"/>
      </patternFill>
    </fill>
    <fill>
      <patternFill patternType="solid">
        <fgColor theme="3" tint="-0.499984740745262"/>
        <bgColor indexed="64"/>
      </patternFill>
    </fill>
    <fill>
      <patternFill patternType="solid">
        <fgColor theme="8" tint="0.79998168889431442"/>
        <bgColor indexed="64"/>
      </patternFill>
    </fill>
    <fill>
      <patternFill patternType="solid">
        <fgColor theme="8"/>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2" tint="-0.249977111117893"/>
        <bgColor indexed="64"/>
      </patternFill>
    </fill>
  </fills>
  <borders count="76">
    <border>
      <left/>
      <right/>
      <top/>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top/>
      <bottom style="thin">
        <color auto="1"/>
      </bottom>
      <diagonal/>
    </border>
    <border>
      <left style="medium">
        <color auto="1"/>
      </left>
      <right style="medium">
        <color auto="1"/>
      </right>
      <top style="medium">
        <color auto="1"/>
      </top>
      <bottom/>
      <diagonal/>
    </border>
    <border>
      <left/>
      <right style="medium">
        <color auto="1"/>
      </right>
      <top/>
      <bottom style="thin">
        <color auto="1"/>
      </bottom>
      <diagonal/>
    </border>
    <border>
      <left/>
      <right/>
      <top/>
      <bottom style="medium">
        <color auto="1"/>
      </bottom>
      <diagonal/>
    </border>
    <border>
      <left style="medium">
        <color auto="1"/>
      </left>
      <right/>
      <top/>
      <bottom style="medium">
        <color auto="1"/>
      </bottom>
      <diagonal/>
    </border>
    <border>
      <left/>
      <right/>
      <top style="medium">
        <color auto="1"/>
      </top>
      <bottom/>
      <diagonal/>
    </border>
    <border>
      <left style="medium">
        <color auto="1"/>
      </left>
      <right/>
      <top style="medium">
        <color auto="1"/>
      </top>
      <bottom/>
      <diagonal/>
    </border>
    <border>
      <left style="thin">
        <color auto="1"/>
      </left>
      <right style="thin">
        <color auto="1"/>
      </right>
      <top/>
      <bottom/>
      <diagonal/>
    </border>
    <border>
      <left style="double">
        <color theme="4" tint="0.499984740745262"/>
      </left>
      <right/>
      <top style="double">
        <color theme="4" tint="0.499984740745262"/>
      </top>
      <bottom style="double">
        <color theme="4" tint="0.499984740745262"/>
      </bottom>
      <diagonal/>
    </border>
    <border>
      <left/>
      <right/>
      <top style="double">
        <color theme="4" tint="0.499984740745262"/>
      </top>
      <bottom style="double">
        <color theme="4" tint="0.499984740745262"/>
      </bottom>
      <diagonal/>
    </border>
    <border>
      <left style="double">
        <color theme="4" tint="0.499984740745262"/>
      </left>
      <right/>
      <top style="double">
        <color theme="4" tint="0.499984740745262"/>
      </top>
      <bottom/>
      <diagonal/>
    </border>
    <border>
      <left/>
      <right/>
      <top style="double">
        <color theme="4" tint="0.499984740745262"/>
      </top>
      <bottom/>
      <diagonal/>
    </border>
    <border>
      <left style="double">
        <color theme="4" tint="0.499984740745262"/>
      </left>
      <right style="double">
        <color theme="4" tint="0.499984740745262"/>
      </right>
      <top style="double">
        <color theme="4" tint="0.499984740745262"/>
      </top>
      <bottom style="double">
        <color theme="4" tint="0.499984740745262"/>
      </bottom>
      <diagonal/>
    </border>
    <border>
      <left style="thin">
        <color theme="4" tint="0.499984740745262"/>
      </left>
      <right style="thin">
        <color theme="4" tint="0.499984740745262"/>
      </right>
      <top style="double">
        <color theme="4"/>
      </top>
      <bottom style="thin">
        <color theme="4" tint="0.499984740745262"/>
      </bottom>
      <diagonal/>
    </border>
    <border>
      <left style="double">
        <color theme="4" tint="0.499984740745262"/>
      </left>
      <right/>
      <top style="thin">
        <color theme="4"/>
      </top>
      <bottom style="double">
        <color theme="4"/>
      </bottom>
      <diagonal/>
    </border>
    <border>
      <left/>
      <right style="medium">
        <color theme="4"/>
      </right>
      <top style="thin">
        <color theme="4"/>
      </top>
      <bottom style="double">
        <color theme="4"/>
      </bottom>
      <diagonal/>
    </border>
    <border>
      <left style="double">
        <color theme="4" tint="0.499984740745262"/>
      </left>
      <right style="thin">
        <color theme="4" tint="0.499984740745262"/>
      </right>
      <top style="double">
        <color theme="4"/>
      </top>
      <bottom style="thin">
        <color theme="4" tint="0.499984740745262"/>
      </bottom>
      <diagonal/>
    </border>
    <border>
      <left style="thin">
        <color theme="4" tint="0.499984740745262"/>
      </left>
      <right style="thin">
        <color theme="4" tint="0.499984740745262"/>
      </right>
      <top style="double">
        <color theme="4"/>
      </top>
      <bottom/>
      <diagonal/>
    </border>
    <border>
      <left style="thin">
        <color theme="4" tint="0.499984740745262"/>
      </left>
      <right style="medium">
        <color theme="4"/>
      </right>
      <top style="double">
        <color theme="4"/>
      </top>
      <bottom style="thin">
        <color theme="4" tint="0.499984740745262"/>
      </bottom>
      <diagonal/>
    </border>
    <border>
      <left style="double">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medium">
        <color theme="4"/>
      </right>
      <top style="thin">
        <color theme="4" tint="0.499984740745262"/>
      </top>
      <bottom style="thin">
        <color theme="4" tint="0.499984740745262"/>
      </bottom>
      <diagonal/>
    </border>
    <border>
      <left style="double">
        <color theme="4" tint="0.499984740745262"/>
      </left>
      <right style="thin">
        <color theme="4" tint="0.499984740745262"/>
      </right>
      <top/>
      <bottom style="thin">
        <color theme="4"/>
      </bottom>
      <diagonal/>
    </border>
    <border>
      <left style="thin">
        <color theme="4" tint="0.499984740745262"/>
      </left>
      <right style="thin">
        <color theme="4" tint="0.499984740745262"/>
      </right>
      <top/>
      <bottom style="thin">
        <color theme="4"/>
      </bottom>
      <diagonal/>
    </border>
    <border>
      <left style="thin">
        <color theme="4" tint="0.499984740745262"/>
      </left>
      <right style="medium">
        <color theme="4"/>
      </right>
      <top/>
      <bottom style="thin">
        <color theme="4"/>
      </bottom>
      <diagonal/>
    </border>
    <border>
      <left style="double">
        <color theme="4" tint="0.499984740745262"/>
      </left>
      <right style="thin">
        <color theme="4" tint="0.499984740745262"/>
      </right>
      <top style="double">
        <color theme="4"/>
      </top>
      <bottom/>
      <diagonal/>
    </border>
    <border>
      <left style="thin">
        <color theme="4" tint="0.499984740745262"/>
      </left>
      <right style="thin">
        <color theme="4" tint="0.499984740745262"/>
      </right>
      <top style="thin">
        <color theme="4" tint="0.499984740745262"/>
      </top>
      <bottom/>
      <diagonal/>
    </border>
    <border>
      <left style="thin">
        <color theme="4" tint="0.499984740745262"/>
      </left>
      <right style="medium">
        <color theme="4"/>
      </right>
      <top style="double">
        <color theme="4"/>
      </top>
      <bottom/>
      <diagonal/>
    </border>
    <border>
      <left style="thin">
        <color theme="4" tint="0.499984740745262"/>
      </left>
      <right/>
      <top style="double">
        <color theme="4"/>
      </top>
      <bottom/>
      <diagonal/>
    </border>
    <border>
      <left style="thin">
        <color theme="4" tint="0.499984740745262"/>
      </left>
      <right/>
      <top style="thin">
        <color theme="4" tint="0.499984740745262"/>
      </top>
      <bottom style="thin">
        <color theme="4" tint="0.499984740745262"/>
      </bottom>
      <diagonal/>
    </border>
    <border>
      <left/>
      <right/>
      <top style="thin">
        <color theme="4"/>
      </top>
      <bottom/>
      <diagonal/>
    </border>
    <border>
      <left style="thin">
        <color theme="4" tint="0.499984740745262"/>
      </left>
      <right style="thin">
        <color theme="4" tint="0.499984740745262"/>
      </right>
      <top/>
      <bottom/>
      <diagonal/>
    </border>
    <border>
      <left style="double">
        <color theme="4" tint="0.499984740745262"/>
      </left>
      <right/>
      <top/>
      <bottom style="double">
        <color theme="4"/>
      </bottom>
      <diagonal/>
    </border>
    <border>
      <left/>
      <right/>
      <top/>
      <bottom style="double">
        <color theme="4"/>
      </bottom>
      <diagonal/>
    </border>
    <border>
      <left/>
      <right style="medium">
        <color theme="4"/>
      </right>
      <top/>
      <bottom style="double">
        <color theme="4"/>
      </bottom>
      <diagonal/>
    </border>
    <border>
      <left/>
      <right style="medium">
        <color theme="4"/>
      </right>
      <top style="double">
        <color theme="4" tint="0.499984740745262"/>
      </top>
      <bottom style="double">
        <color theme="4" tint="0.49998474074526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s>
  <cellStyleXfs count="89">
    <xf numFmtId="0" fontId="0" fillId="0" borderId="0"/>
    <xf numFmtId="43" fontId="15" fillId="0" borderId="0" applyFont="0" applyFill="0" applyBorder="0" applyAlignment="0" applyProtection="0"/>
    <xf numFmtId="43" fontId="12" fillId="0" borderId="0" applyFont="0" applyFill="0" applyBorder="0" applyAlignment="0" applyProtection="0"/>
    <xf numFmtId="3" fontId="17" fillId="0" borderId="0" applyFont="0" applyFill="0" applyBorder="0" applyAlignment="0" applyProtection="0"/>
    <xf numFmtId="44" fontId="15" fillId="0" borderId="0" applyFont="0" applyFill="0" applyBorder="0" applyAlignment="0" applyProtection="0"/>
    <xf numFmtId="44" fontId="12" fillId="0" borderId="0" applyFont="0" applyFill="0" applyBorder="0" applyAlignment="0" applyProtection="0"/>
    <xf numFmtId="168" fontId="17" fillId="0" borderId="0" applyFont="0" applyFill="0" applyBorder="0" applyAlignment="0" applyProtection="0"/>
    <xf numFmtId="0" fontId="17" fillId="0" borderId="0" applyFont="0" applyFill="0" applyBorder="0" applyAlignment="0" applyProtection="0"/>
    <xf numFmtId="2" fontId="17" fillId="0" borderId="0" applyFon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4"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12" fillId="0" borderId="0"/>
    <xf numFmtId="9" fontId="3" fillId="0" borderId="0" applyFont="0" applyFill="0" applyBorder="0" applyAlignment="0" applyProtection="0"/>
    <xf numFmtId="9" fontId="15"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17" fillId="0" borderId="1" applyNumberFormat="0" applyFont="0" applyFill="0" applyAlignment="0" applyProtection="0"/>
    <xf numFmtId="0" fontId="29" fillId="0" borderId="0" applyNumberFormat="0" applyFill="0" applyBorder="0" applyAlignment="0" applyProtection="0"/>
    <xf numFmtId="0" fontId="32" fillId="0" borderId="17" applyNumberFormat="0" applyFill="0" applyAlignment="0" applyProtection="0"/>
    <xf numFmtId="0" fontId="32" fillId="0" borderId="0" applyNumberFormat="0" applyFill="0" applyBorder="0" applyAlignment="0" applyProtection="0"/>
    <xf numFmtId="0" fontId="33" fillId="9" borderId="0" applyNumberFormat="0" applyBorder="0" applyAlignment="0" applyProtection="0"/>
    <xf numFmtId="0" fontId="34" fillId="10" borderId="0" applyNumberFormat="0" applyBorder="0" applyAlignment="0" applyProtection="0"/>
    <xf numFmtId="0" fontId="35" fillId="11" borderId="0" applyNumberFormat="0" applyBorder="0" applyAlignment="0" applyProtection="0"/>
    <xf numFmtId="0" fontId="36" fillId="12" borderId="18" applyNumberFormat="0" applyAlignment="0" applyProtection="0"/>
    <xf numFmtId="0" fontId="37" fillId="13" borderId="19" applyNumberFormat="0" applyAlignment="0" applyProtection="0"/>
    <xf numFmtId="0" fontId="38" fillId="13" borderId="18" applyNumberFormat="0" applyAlignment="0" applyProtection="0"/>
    <xf numFmtId="0" fontId="39" fillId="0" borderId="20" applyNumberFormat="0" applyFill="0" applyAlignment="0" applyProtection="0"/>
    <xf numFmtId="0" fontId="40" fillId="14" borderId="21" applyNumberFormat="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4"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44" fillId="35" borderId="0" applyNumberFormat="0" applyBorder="0" applyAlignment="0" applyProtection="0"/>
    <xf numFmtId="0" fontId="44"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44" fillId="39" borderId="0" applyNumberFormat="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0" fontId="2" fillId="0" borderId="0"/>
    <xf numFmtId="0" fontId="30" fillId="0" borderId="15" applyNumberFormat="0" applyFill="0" applyAlignment="0" applyProtection="0"/>
    <xf numFmtId="0" fontId="31" fillId="0" borderId="16" applyNumberFormat="0" applyFill="0" applyAlignment="0" applyProtection="0"/>
    <xf numFmtId="0" fontId="2" fillId="15" borderId="22" applyNumberFormat="0" applyFont="0" applyAlignment="0" applyProtection="0"/>
    <xf numFmtId="9" fontId="2" fillId="0" borderId="0" applyFont="0" applyFill="0" applyBorder="0" applyAlignment="0" applyProtection="0"/>
    <xf numFmtId="0" fontId="43" fillId="0" borderId="23" applyNumberFormat="0" applyFill="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 fillId="0" borderId="0"/>
    <xf numFmtId="0" fontId="1" fillId="15" borderId="22" applyNumberFormat="0" applyFont="0" applyAlignment="0" applyProtection="0"/>
    <xf numFmtId="9" fontId="1" fillId="0" borderId="0" applyFont="0" applyFill="0" applyBorder="0" applyAlignment="0" applyProtection="0"/>
    <xf numFmtId="9" fontId="47" fillId="0" borderId="0" applyFont="0" applyFill="0" applyBorder="0" applyAlignment="0" applyProtection="0"/>
    <xf numFmtId="0" fontId="31" fillId="0" borderId="16" applyNumberFormat="0" applyFill="0" applyAlignment="0" applyProtection="0"/>
    <xf numFmtId="0" fontId="43" fillId="0" borderId="23" applyNumberFormat="0" applyFill="0" applyAlignment="0" applyProtection="0"/>
    <xf numFmtId="44" fontId="64" fillId="0" borderId="0" applyFont="0" applyFill="0" applyBorder="0" applyAlignment="0" applyProtection="0"/>
  </cellStyleXfs>
  <cellXfs count="460">
    <xf numFmtId="0" fontId="0" fillId="0" borderId="0" xfId="0"/>
    <xf numFmtId="0" fontId="13" fillId="2" borderId="0" xfId="0" applyFont="1" applyFill="1" applyAlignment="1">
      <alignment horizontal="right"/>
    </xf>
    <xf numFmtId="0" fontId="10" fillId="2" borderId="0" xfId="0" applyFont="1" applyFill="1" applyAlignment="1">
      <alignment horizontal="right"/>
    </xf>
    <xf numFmtId="0" fontId="10" fillId="2" borderId="0" xfId="0" applyFont="1" applyFill="1"/>
    <xf numFmtId="0" fontId="13" fillId="2" borderId="0" xfId="0" applyFont="1" applyFill="1"/>
    <xf numFmtId="0" fontId="0" fillId="2" borderId="0" xfId="0" applyFill="1"/>
    <xf numFmtId="0" fontId="11" fillId="0" borderId="0" xfId="0" applyFont="1"/>
    <xf numFmtId="0" fontId="11" fillId="2" borderId="0" xfId="0" applyFont="1" applyFill="1" applyAlignment="1">
      <alignment horizontal="center"/>
    </xf>
    <xf numFmtId="164" fontId="10" fillId="2" borderId="2" xfId="0" applyNumberFormat="1" applyFont="1" applyFill="1" applyBorder="1" applyAlignment="1">
      <alignment horizontal="right"/>
    </xf>
    <xf numFmtId="164" fontId="10" fillId="7" borderId="2" xfId="0" applyNumberFormat="1" applyFont="1" applyFill="1" applyBorder="1" applyAlignment="1">
      <alignment horizontal="right"/>
    </xf>
    <xf numFmtId="164" fontId="3" fillId="7" borderId="2" xfId="0" applyNumberFormat="1" applyFont="1" applyFill="1" applyBorder="1" applyAlignment="1">
      <alignment horizontal="right"/>
    </xf>
    <xf numFmtId="164" fontId="11" fillId="2" borderId="0" xfId="0" applyNumberFormat="1" applyFont="1" applyFill="1" applyAlignment="1">
      <alignment horizontal="center"/>
    </xf>
    <xf numFmtId="164" fontId="3" fillId="6" borderId="0" xfId="0" applyNumberFormat="1" applyFont="1" applyFill="1" applyAlignment="1">
      <alignment horizontal="center"/>
    </xf>
    <xf numFmtId="164" fontId="3" fillId="2" borderId="0" xfId="0" applyNumberFormat="1" applyFont="1" applyFill="1" applyAlignment="1">
      <alignment horizontal="center"/>
    </xf>
    <xf numFmtId="164" fontId="11" fillId="6" borderId="0" xfId="0" applyNumberFormat="1" applyFont="1" applyFill="1" applyAlignment="1">
      <alignment horizontal="center"/>
    </xf>
    <xf numFmtId="164" fontId="3" fillId="2" borderId="0" xfId="0" applyNumberFormat="1" applyFont="1" applyFill="1" applyAlignment="1">
      <alignment horizontal="right"/>
    </xf>
    <xf numFmtId="164" fontId="3" fillId="6" borderId="0" xfId="0" applyNumberFormat="1" applyFont="1" applyFill="1" applyAlignment="1">
      <alignment horizontal="right"/>
    </xf>
    <xf numFmtId="164" fontId="3" fillId="7" borderId="2" xfId="0" applyNumberFormat="1" applyFont="1" applyFill="1" applyBorder="1" applyAlignment="1" applyProtection="1">
      <alignment horizontal="right"/>
      <protection locked="0"/>
    </xf>
    <xf numFmtId="164" fontId="3" fillId="7" borderId="5" xfId="0" applyNumberFormat="1" applyFont="1" applyFill="1" applyBorder="1" applyAlignment="1" applyProtection="1">
      <alignment horizontal="right"/>
      <protection locked="0"/>
    </xf>
    <xf numFmtId="0" fontId="3" fillId="2" borderId="0" xfId="0" applyFont="1" applyFill="1" applyProtection="1">
      <protection locked="0"/>
    </xf>
    <xf numFmtId="0" fontId="10" fillId="6" borderId="0" xfId="0" applyFont="1" applyFill="1" applyProtection="1">
      <protection locked="0"/>
    </xf>
    <xf numFmtId="0" fontId="10" fillId="2" borderId="0" xfId="0" applyFont="1" applyFill="1" applyProtection="1">
      <protection locked="0"/>
    </xf>
    <xf numFmtId="0" fontId="11" fillId="2" borderId="0" xfId="0" applyFont="1" applyFill="1" applyProtection="1">
      <protection locked="0"/>
    </xf>
    <xf numFmtId="0" fontId="24" fillId="7" borderId="2" xfId="0" applyFont="1" applyFill="1" applyBorder="1" applyAlignment="1" applyProtection="1">
      <alignment horizontal="center" wrapText="1"/>
      <protection locked="0"/>
    </xf>
    <xf numFmtId="0" fontId="3" fillId="2" borderId="0" xfId="0" applyFont="1" applyFill="1" applyAlignment="1" applyProtection="1">
      <alignment horizontal="right"/>
      <protection locked="0"/>
    </xf>
    <xf numFmtId="0" fontId="0" fillId="2" borderId="0" xfId="0" applyFill="1" applyAlignment="1" applyProtection="1">
      <alignment horizontal="right"/>
      <protection locked="0"/>
    </xf>
    <xf numFmtId="164" fontId="10" fillId="6" borderId="2" xfId="0" applyNumberFormat="1" applyFont="1" applyFill="1" applyBorder="1" applyAlignment="1" applyProtection="1">
      <alignment horizontal="right"/>
      <protection locked="0"/>
    </xf>
    <xf numFmtId="164" fontId="10" fillId="7" borderId="2" xfId="0" applyNumberFormat="1" applyFont="1" applyFill="1" applyBorder="1" applyAlignment="1" applyProtection="1">
      <alignment horizontal="right"/>
      <protection locked="0"/>
    </xf>
    <xf numFmtId="164" fontId="10" fillId="7" borderId="5" xfId="0" applyNumberFormat="1" applyFont="1" applyFill="1" applyBorder="1" applyAlignment="1" applyProtection="1">
      <alignment horizontal="right"/>
      <protection locked="0"/>
    </xf>
    <xf numFmtId="164" fontId="10" fillId="6" borderId="5" xfId="0" applyNumberFormat="1" applyFont="1" applyFill="1" applyBorder="1" applyAlignment="1" applyProtection="1">
      <alignment horizontal="right"/>
      <protection locked="0"/>
    </xf>
    <xf numFmtId="2" fontId="3" fillId="2" borderId="0" xfId="0" applyNumberFormat="1" applyFont="1" applyFill="1" applyAlignment="1" applyProtection="1">
      <alignment horizontal="right"/>
      <protection locked="0"/>
    </xf>
    <xf numFmtId="0" fontId="3" fillId="2" borderId="0" xfId="0" applyFont="1" applyFill="1" applyAlignment="1" applyProtection="1">
      <alignment horizontal="left"/>
      <protection locked="0"/>
    </xf>
    <xf numFmtId="0" fontId="3" fillId="6" borderId="0" xfId="0" applyFont="1" applyFill="1" applyProtection="1">
      <protection locked="0"/>
    </xf>
    <xf numFmtId="0" fontId="3" fillId="6" borderId="0" xfId="0" applyFont="1" applyFill="1" applyAlignment="1" applyProtection="1">
      <alignment horizontal="right"/>
      <protection locked="0"/>
    </xf>
    <xf numFmtId="164" fontId="11" fillId="6" borderId="0" xfId="0" applyNumberFormat="1" applyFont="1" applyFill="1" applyAlignment="1" applyProtection="1">
      <alignment horizontal="center"/>
      <protection locked="0"/>
    </xf>
    <xf numFmtId="164" fontId="3" fillId="6" borderId="0" xfId="0" applyNumberFormat="1" applyFont="1" applyFill="1" applyAlignment="1" applyProtection="1">
      <alignment horizontal="center"/>
      <protection locked="0"/>
    </xf>
    <xf numFmtId="0" fontId="11" fillId="2" borderId="0" xfId="0" applyFont="1" applyFill="1" applyAlignment="1" applyProtection="1">
      <alignment horizontal="right"/>
      <protection locked="0"/>
    </xf>
    <xf numFmtId="166" fontId="3" fillId="2" borderId="0" xfId="0" applyNumberFormat="1" applyFont="1" applyFill="1" applyAlignment="1" applyProtection="1">
      <alignment horizontal="right"/>
      <protection locked="0"/>
    </xf>
    <xf numFmtId="166" fontId="3" fillId="2" borderId="0" xfId="14" applyNumberFormat="1" applyFont="1" applyFill="1" applyProtection="1">
      <protection locked="0"/>
    </xf>
    <xf numFmtId="0" fontId="10" fillId="2" borderId="0" xfId="0" applyFont="1" applyFill="1" applyAlignment="1" applyProtection="1">
      <alignment horizontal="left"/>
      <protection locked="0"/>
    </xf>
    <xf numFmtId="0" fontId="10" fillId="2" borderId="0" xfId="0" applyFont="1" applyFill="1" applyAlignment="1" applyProtection="1">
      <alignment horizontal="right"/>
      <protection locked="0"/>
    </xf>
    <xf numFmtId="2" fontId="11" fillId="2" borderId="0" xfId="0" applyNumberFormat="1" applyFont="1" applyFill="1" applyAlignment="1" applyProtection="1">
      <alignment horizontal="right"/>
      <protection locked="0"/>
    </xf>
    <xf numFmtId="0" fontId="13" fillId="6" borderId="0" xfId="0" applyFont="1" applyFill="1" applyAlignment="1" applyProtection="1">
      <alignment horizontal="left"/>
      <protection locked="0"/>
    </xf>
    <xf numFmtId="0" fontId="13" fillId="6" borderId="0" xfId="0" applyFont="1" applyFill="1" applyAlignment="1" applyProtection="1">
      <alignment horizontal="right"/>
      <protection locked="0"/>
    </xf>
    <xf numFmtId="2" fontId="3" fillId="6" borderId="0" xfId="0" applyNumberFormat="1" applyFont="1" applyFill="1" applyAlignment="1" applyProtection="1">
      <alignment horizontal="right"/>
      <protection locked="0"/>
    </xf>
    <xf numFmtId="164" fontId="13" fillId="6" borderId="0" xfId="0" applyNumberFormat="1" applyFont="1" applyFill="1" applyAlignment="1" applyProtection="1">
      <alignment horizontal="right"/>
      <protection locked="0"/>
    </xf>
    <xf numFmtId="164" fontId="3" fillId="6" borderId="0" xfId="0" applyNumberFormat="1" applyFont="1" applyFill="1" applyAlignment="1" applyProtection="1">
      <alignment horizontal="right"/>
      <protection locked="0"/>
    </xf>
    <xf numFmtId="0" fontId="13" fillId="2" borderId="0" xfId="0" applyFont="1" applyFill="1" applyAlignment="1" applyProtection="1">
      <alignment horizontal="left"/>
      <protection locked="0"/>
    </xf>
    <xf numFmtId="0" fontId="10" fillId="6" borderId="0" xfId="0" applyFont="1" applyFill="1" applyAlignment="1" applyProtection="1">
      <alignment horizontal="right"/>
      <protection locked="0"/>
    </xf>
    <xf numFmtId="164" fontId="13" fillId="7" borderId="2" xfId="0" applyNumberFormat="1" applyFont="1" applyFill="1" applyBorder="1" applyAlignment="1" applyProtection="1">
      <alignment horizontal="right"/>
      <protection locked="0"/>
    </xf>
    <xf numFmtId="0" fontId="3" fillId="6" borderId="0" xfId="0" applyFont="1" applyFill="1" applyAlignment="1" applyProtection="1">
      <alignment horizontal="left"/>
      <protection locked="0"/>
    </xf>
    <xf numFmtId="165" fontId="3" fillId="6" borderId="0" xfId="0" applyNumberFormat="1" applyFont="1" applyFill="1" applyProtection="1">
      <protection locked="0"/>
    </xf>
    <xf numFmtId="2" fontId="11" fillId="2" borderId="0" xfId="0" applyNumberFormat="1" applyFont="1" applyFill="1" applyProtection="1">
      <protection locked="0"/>
    </xf>
    <xf numFmtId="0" fontId="11" fillId="2" borderId="0" xfId="0" applyFont="1" applyFill="1" applyAlignment="1" applyProtection="1">
      <alignment horizontal="left"/>
      <protection locked="0"/>
    </xf>
    <xf numFmtId="0" fontId="23" fillId="2" borderId="0" xfId="0" applyFont="1" applyFill="1" applyAlignment="1" applyProtection="1">
      <alignment horizontal="left"/>
      <protection locked="0"/>
    </xf>
    <xf numFmtId="0" fontId="3" fillId="0" borderId="0" xfId="0" applyFont="1" applyProtection="1">
      <protection locked="0"/>
    </xf>
    <xf numFmtId="0" fontId="3" fillId="0" borderId="0" xfId="0" applyFont="1" applyAlignment="1" applyProtection="1">
      <alignment horizontal="right"/>
      <protection locked="0"/>
    </xf>
    <xf numFmtId="164" fontId="3" fillId="0" borderId="0" xfId="0" applyNumberFormat="1" applyFont="1" applyAlignment="1" applyProtection="1">
      <alignment horizontal="right"/>
      <protection locked="0"/>
    </xf>
    <xf numFmtId="0" fontId="0" fillId="0" borderId="0" xfId="0" applyProtection="1">
      <protection locked="0"/>
    </xf>
    <xf numFmtId="0" fontId="7" fillId="0" borderId="0" xfId="0" applyFont="1" applyProtection="1">
      <protection locked="0"/>
    </xf>
    <xf numFmtId="0" fontId="0" fillId="0" borderId="0" xfId="0" applyAlignment="1" applyProtection="1">
      <alignment wrapText="1"/>
      <protection locked="0"/>
    </xf>
    <xf numFmtId="0" fontId="22" fillId="0" borderId="0" xfId="0" applyFont="1" applyProtection="1">
      <protection locked="0"/>
    </xf>
    <xf numFmtId="0" fontId="20" fillId="0" borderId="0" xfId="0" applyFont="1" applyProtection="1">
      <protection locked="0"/>
    </xf>
    <xf numFmtId="0" fontId="25" fillId="0" borderId="0" xfId="0" applyFont="1" applyProtection="1">
      <protection locked="0"/>
    </xf>
    <xf numFmtId="0" fontId="26" fillId="0" borderId="0" xfId="0" applyFont="1" applyProtection="1">
      <protection locked="0"/>
    </xf>
    <xf numFmtId="10" fontId="0" fillId="0" borderId="0" xfId="0" applyNumberFormat="1" applyProtection="1">
      <protection locked="0"/>
    </xf>
    <xf numFmtId="9" fontId="26" fillId="0" borderId="9" xfId="14" applyFont="1" applyBorder="1" applyAlignment="1" applyProtection="1">
      <alignment horizontal="left"/>
      <protection locked="0"/>
    </xf>
    <xf numFmtId="9" fontId="26" fillId="0" borderId="11" xfId="14" applyFont="1" applyBorder="1" applyAlignment="1" applyProtection="1">
      <alignment horizontal="left"/>
      <protection locked="0"/>
    </xf>
    <xf numFmtId="166" fontId="0" fillId="0" borderId="0" xfId="0" applyNumberFormat="1" applyProtection="1">
      <protection locked="0"/>
    </xf>
    <xf numFmtId="9" fontId="26" fillId="0" borderId="12" xfId="14" applyFont="1" applyBorder="1" applyAlignment="1" applyProtection="1">
      <alignment horizontal="left"/>
      <protection locked="0"/>
    </xf>
    <xf numFmtId="0" fontId="26" fillId="0" borderId="13" xfId="0" applyFont="1" applyBorder="1" applyProtection="1">
      <protection locked="0"/>
    </xf>
    <xf numFmtId="0" fontId="0" fillId="0" borderId="13" xfId="0" applyBorder="1" applyProtection="1">
      <protection locked="0"/>
    </xf>
    <xf numFmtId="2" fontId="3" fillId="0" borderId="0" xfId="0" applyNumberFormat="1" applyFont="1" applyAlignment="1" applyProtection="1">
      <alignment horizontal="right"/>
      <protection locked="0"/>
    </xf>
    <xf numFmtId="164" fontId="3" fillId="0" borderId="2" xfId="0" applyNumberFormat="1" applyFont="1" applyBorder="1" applyAlignment="1" applyProtection="1">
      <alignment horizontal="right"/>
      <protection locked="0"/>
    </xf>
    <xf numFmtId="164" fontId="3" fillId="0" borderId="5" xfId="0" applyNumberFormat="1" applyFont="1" applyBorder="1" applyAlignment="1" applyProtection="1">
      <alignment horizontal="right"/>
      <protection locked="0"/>
    </xf>
    <xf numFmtId="164" fontId="3" fillId="0" borderId="2" xfId="0" applyNumberFormat="1" applyFont="1" applyBorder="1" applyAlignment="1">
      <alignment horizontal="right"/>
    </xf>
    <xf numFmtId="0" fontId="24" fillId="0" borderId="2" xfId="0" applyFont="1" applyBorder="1" applyAlignment="1" applyProtection="1">
      <alignment horizontal="center" wrapText="1"/>
      <protection locked="0"/>
    </xf>
    <xf numFmtId="0" fontId="3" fillId="0" borderId="0" xfId="0" applyFont="1" applyAlignment="1" applyProtection="1">
      <alignment horizontal="left"/>
      <protection locked="0"/>
    </xf>
    <xf numFmtId="166" fontId="3" fillId="0" borderId="0" xfId="14" applyNumberFormat="1" applyFont="1" applyFill="1" applyProtection="1">
      <protection locked="0"/>
    </xf>
    <xf numFmtId="0" fontId="13" fillId="0" borderId="0" xfId="0" applyFont="1" applyAlignment="1" applyProtection="1">
      <alignment horizontal="left"/>
      <protection locked="0"/>
    </xf>
    <xf numFmtId="0" fontId="13" fillId="0" borderId="0" xfId="0" applyFont="1" applyProtection="1">
      <protection locked="0"/>
    </xf>
    <xf numFmtId="0" fontId="0" fillId="0" borderId="0" xfId="0" applyAlignment="1" applyProtection="1">
      <alignment horizontal="left"/>
      <protection locked="0"/>
    </xf>
    <xf numFmtId="0" fontId="14" fillId="0" borderId="0" xfId="0" applyFont="1" applyAlignment="1" applyProtection="1">
      <alignment horizontal="left"/>
      <protection locked="0"/>
    </xf>
    <xf numFmtId="165" fontId="3" fillId="0" borderId="0" xfId="0" applyNumberFormat="1" applyFont="1" applyProtection="1">
      <protection locked="0"/>
    </xf>
    <xf numFmtId="164" fontId="3" fillId="0" borderId="5" xfId="0" applyNumberFormat="1" applyFont="1" applyBorder="1" applyAlignment="1">
      <alignment horizontal="right"/>
    </xf>
    <xf numFmtId="164" fontId="10" fillId="7" borderId="6" xfId="0" applyNumberFormat="1" applyFont="1" applyFill="1" applyBorder="1" applyAlignment="1" applyProtection="1">
      <alignment horizontal="right"/>
      <protection locked="0"/>
    </xf>
    <xf numFmtId="164" fontId="10" fillId="6" borderId="6" xfId="0" applyNumberFormat="1" applyFont="1" applyFill="1" applyBorder="1" applyAlignment="1" applyProtection="1">
      <alignment horizontal="right"/>
      <protection locked="0"/>
    </xf>
    <xf numFmtId="164" fontId="10" fillId="2" borderId="6" xfId="0" applyNumberFormat="1" applyFont="1" applyFill="1" applyBorder="1" applyAlignment="1">
      <alignment horizontal="right"/>
    </xf>
    <xf numFmtId="164" fontId="10" fillId="2" borderId="7" xfId="0" applyNumberFormat="1" applyFont="1" applyFill="1" applyBorder="1" applyAlignment="1">
      <alignment horizontal="right"/>
    </xf>
    <xf numFmtId="2" fontId="3" fillId="6" borderId="0" xfId="0" applyNumberFormat="1" applyFont="1" applyFill="1" applyAlignment="1" applyProtection="1">
      <alignment horizontal="left"/>
      <protection locked="0"/>
    </xf>
    <xf numFmtId="164" fontId="10" fillId="0" borderId="5" xfId="0" applyNumberFormat="1" applyFont="1" applyBorder="1" applyAlignment="1" applyProtection="1">
      <alignment horizontal="right"/>
      <protection locked="0"/>
    </xf>
    <xf numFmtId="164" fontId="10" fillId="0" borderId="2" xfId="0" applyNumberFormat="1" applyFont="1" applyBorder="1" applyAlignment="1" applyProtection="1">
      <alignment horizontal="right"/>
      <protection locked="0"/>
    </xf>
    <xf numFmtId="164" fontId="10" fillId="0" borderId="2" xfId="0" applyNumberFormat="1" applyFont="1" applyBorder="1" applyAlignment="1">
      <alignment horizontal="right"/>
    </xf>
    <xf numFmtId="164" fontId="10" fillId="0" borderId="6" xfId="0" applyNumberFormat="1" applyFont="1" applyBorder="1" applyAlignment="1">
      <alignment horizontal="right"/>
    </xf>
    <xf numFmtId="164" fontId="10" fillId="0" borderId="7" xfId="0" applyNumberFormat="1" applyFont="1" applyBorder="1" applyAlignment="1">
      <alignment horizontal="right"/>
    </xf>
    <xf numFmtId="0" fontId="3" fillId="2" borderId="0" xfId="0" applyFont="1" applyFill="1" applyAlignment="1">
      <alignment horizontal="center"/>
    </xf>
    <xf numFmtId="0" fontId="10" fillId="2" borderId="0" xfId="0" applyFont="1" applyFill="1" applyAlignment="1">
      <alignment horizontal="left"/>
    </xf>
    <xf numFmtId="0" fontId="11" fillId="2" borderId="0" xfId="0" applyFont="1" applyFill="1"/>
    <xf numFmtId="164" fontId="11" fillId="2" borderId="0" xfId="0" applyNumberFormat="1" applyFont="1" applyFill="1"/>
    <xf numFmtId="0" fontId="3" fillId="2" borderId="0" xfId="0" applyFont="1" applyFill="1" applyAlignment="1">
      <alignment horizontal="left"/>
    </xf>
    <xf numFmtId="0" fontId="3" fillId="2" borderId="0" xfId="0" applyFont="1" applyFill="1" applyAlignment="1">
      <alignment horizontal="right"/>
    </xf>
    <xf numFmtId="0" fontId="48" fillId="6" borderId="0" xfId="0" applyFont="1" applyFill="1" applyProtection="1">
      <protection locked="0"/>
    </xf>
    <xf numFmtId="0" fontId="22" fillId="6" borderId="0" xfId="0" applyFont="1" applyFill="1" applyAlignment="1" applyProtection="1">
      <alignment horizontal="left"/>
      <protection locked="0"/>
    </xf>
    <xf numFmtId="0" fontId="3" fillId="0" borderId="0" xfId="13" applyFont="1" applyProtection="1">
      <protection locked="0"/>
    </xf>
    <xf numFmtId="0" fontId="3" fillId="0" borderId="0" xfId="59"/>
    <xf numFmtId="43" fontId="13" fillId="40" borderId="0" xfId="61" applyFont="1" applyFill="1" applyProtection="1">
      <protection hidden="1"/>
    </xf>
    <xf numFmtId="43" fontId="13" fillId="40" borderId="0" xfId="59" applyNumberFormat="1" applyFont="1" applyFill="1" applyProtection="1">
      <protection hidden="1"/>
    </xf>
    <xf numFmtId="166" fontId="49" fillId="40" borderId="0" xfId="14" applyNumberFormat="1" applyFont="1" applyFill="1" applyBorder="1" applyProtection="1">
      <protection hidden="1"/>
    </xf>
    <xf numFmtId="0" fontId="3" fillId="40" borderId="0" xfId="59" applyFill="1" applyAlignment="1" applyProtection="1">
      <alignment horizontal="center"/>
      <protection hidden="1"/>
    </xf>
    <xf numFmtId="0" fontId="3" fillId="40" borderId="0" xfId="59" applyFill="1" applyProtection="1">
      <protection hidden="1"/>
    </xf>
    <xf numFmtId="43" fontId="13" fillId="40" borderId="0" xfId="59" applyNumberFormat="1" applyFont="1" applyFill="1" applyAlignment="1">
      <alignment horizontal="center"/>
    </xf>
    <xf numFmtId="0" fontId="3" fillId="40" borderId="0" xfId="59" applyFill="1"/>
    <xf numFmtId="0" fontId="13" fillId="40" borderId="0" xfId="59" applyFont="1" applyFill="1" applyAlignment="1">
      <alignment horizontal="right"/>
    </xf>
    <xf numFmtId="43" fontId="0" fillId="42" borderId="13" xfId="61" applyFont="1" applyFill="1" applyBorder="1" applyProtection="1">
      <protection hidden="1"/>
    </xf>
    <xf numFmtId="43" fontId="3" fillId="42" borderId="13" xfId="59" applyNumberFormat="1" applyFill="1" applyBorder="1" applyProtection="1">
      <protection hidden="1"/>
    </xf>
    <xf numFmtId="9" fontId="3" fillId="42" borderId="13" xfId="14" quotePrefix="1" applyFont="1" applyFill="1" applyBorder="1" applyProtection="1">
      <protection hidden="1"/>
    </xf>
    <xf numFmtId="0" fontId="3" fillId="42" borderId="13" xfId="59" applyFill="1" applyBorder="1" applyAlignment="1" applyProtection="1">
      <alignment horizontal="center"/>
      <protection hidden="1"/>
    </xf>
    <xf numFmtId="0" fontId="3" fillId="42" borderId="13" xfId="59" applyFill="1" applyBorder="1" applyProtection="1">
      <protection hidden="1"/>
    </xf>
    <xf numFmtId="0" fontId="3" fillId="42" borderId="13" xfId="59" applyFill="1" applyBorder="1" applyAlignment="1">
      <alignment horizontal="center"/>
    </xf>
    <xf numFmtId="0" fontId="3" fillId="0" borderId="13" xfId="59" applyBorder="1" applyAlignment="1" applyProtection="1">
      <alignment horizontal="center"/>
      <protection hidden="1"/>
    </xf>
    <xf numFmtId="0" fontId="3" fillId="0" borderId="13" xfId="59" applyBorder="1"/>
    <xf numFmtId="43" fontId="0" fillId="42" borderId="0" xfId="61" applyFont="1" applyFill="1" applyBorder="1" applyProtection="1">
      <protection hidden="1"/>
    </xf>
    <xf numFmtId="43" fontId="3" fillId="42" borderId="0" xfId="59" applyNumberFormat="1" applyFill="1" applyProtection="1">
      <protection hidden="1"/>
    </xf>
    <xf numFmtId="9" fontId="3" fillId="42" borderId="0" xfId="14" quotePrefix="1" applyFont="1" applyFill="1" applyBorder="1" applyProtection="1">
      <protection hidden="1"/>
    </xf>
    <xf numFmtId="0" fontId="3" fillId="42" borderId="0" xfId="59" applyFill="1" applyAlignment="1" applyProtection="1">
      <alignment horizontal="center"/>
      <protection hidden="1"/>
    </xf>
    <xf numFmtId="0" fontId="3" fillId="42" borderId="0" xfId="59" applyFill="1" applyProtection="1">
      <protection hidden="1"/>
    </xf>
    <xf numFmtId="0" fontId="3" fillId="42" borderId="0" xfId="59" applyFill="1" applyAlignment="1">
      <alignment horizontal="center"/>
    </xf>
    <xf numFmtId="0" fontId="3" fillId="0" borderId="0" xfId="59" applyAlignment="1" applyProtection="1">
      <alignment horizontal="center"/>
      <protection hidden="1"/>
    </xf>
    <xf numFmtId="14" fontId="3" fillId="0" borderId="25" xfId="59" applyNumberFormat="1" applyBorder="1" applyProtection="1">
      <protection locked="0"/>
    </xf>
    <xf numFmtId="0" fontId="13" fillId="8" borderId="26" xfId="59" applyFont="1" applyFill="1" applyBorder="1"/>
    <xf numFmtId="0" fontId="3" fillId="42" borderId="24" xfId="59" applyFill="1" applyBorder="1" applyAlignment="1" applyProtection="1">
      <alignment horizontal="center"/>
      <protection hidden="1"/>
    </xf>
    <xf numFmtId="43" fontId="0" fillId="42" borderId="0" xfId="61" applyFont="1" applyFill="1" applyBorder="1" applyAlignment="1" applyProtection="1">
      <alignment horizontal="center"/>
      <protection hidden="1"/>
    </xf>
    <xf numFmtId="43" fontId="0" fillId="0" borderId="2" xfId="61" applyFont="1" applyBorder="1" applyAlignment="1" applyProtection="1">
      <alignment horizontal="center"/>
      <protection locked="0"/>
    </xf>
    <xf numFmtId="0" fontId="3" fillId="40" borderId="0" xfId="59" quotePrefix="1" applyFill="1" applyAlignment="1">
      <alignment horizontal="center"/>
    </xf>
    <xf numFmtId="0" fontId="13" fillId="8" borderId="25" xfId="59" applyFont="1" applyFill="1" applyBorder="1"/>
    <xf numFmtId="0" fontId="13" fillId="42" borderId="13" xfId="59" applyFont="1" applyFill="1" applyBorder="1" applyAlignment="1" applyProtection="1">
      <alignment horizontal="center"/>
      <protection hidden="1"/>
    </xf>
    <xf numFmtId="0" fontId="13" fillId="42" borderId="13" xfId="59" applyFont="1" applyFill="1" applyBorder="1" applyProtection="1">
      <protection hidden="1"/>
    </xf>
    <xf numFmtId="0" fontId="13" fillId="42" borderId="27" xfId="59" applyFont="1" applyFill="1" applyBorder="1" applyProtection="1">
      <protection hidden="1"/>
    </xf>
    <xf numFmtId="0" fontId="13" fillId="8" borderId="28" xfId="59" applyFont="1" applyFill="1" applyBorder="1" applyAlignment="1">
      <alignment horizontal="center"/>
    </xf>
    <xf numFmtId="0" fontId="13" fillId="8" borderId="0" xfId="59" applyFont="1" applyFill="1" applyAlignment="1">
      <alignment horizontal="center"/>
    </xf>
    <xf numFmtId="0" fontId="3" fillId="0" borderId="0" xfId="59" applyAlignment="1">
      <alignment horizontal="center"/>
    </xf>
    <xf numFmtId="0" fontId="13" fillId="8" borderId="0" xfId="59" applyFont="1" applyFill="1" applyAlignment="1">
      <alignment horizontal="left"/>
    </xf>
    <xf numFmtId="0" fontId="13" fillId="0" borderId="0" xfId="59" applyFont="1" applyAlignment="1">
      <alignment vertical="center"/>
    </xf>
    <xf numFmtId="43" fontId="3" fillId="0" borderId="0" xfId="59" applyNumberFormat="1"/>
    <xf numFmtId="169" fontId="3" fillId="0" borderId="0" xfId="59" applyNumberFormat="1"/>
    <xf numFmtId="0" fontId="3" fillId="0" borderId="0" xfId="59" quotePrefix="1"/>
    <xf numFmtId="0" fontId="3" fillId="42" borderId="29" xfId="59" applyFill="1" applyBorder="1" applyAlignment="1" applyProtection="1">
      <alignment horizontal="center"/>
      <protection hidden="1"/>
    </xf>
    <xf numFmtId="0" fontId="3" fillId="0" borderId="0" xfId="59" applyProtection="1">
      <protection hidden="1"/>
    </xf>
    <xf numFmtId="9" fontId="0" fillId="40" borderId="0" xfId="14" applyFont="1" applyFill="1" applyAlignment="1" applyProtection="1">
      <alignment horizontal="center"/>
      <protection hidden="1"/>
    </xf>
    <xf numFmtId="14" fontId="3" fillId="40" borderId="0" xfId="59" applyNumberFormat="1" applyFill="1" applyAlignment="1" applyProtection="1">
      <alignment horizontal="center"/>
      <protection hidden="1"/>
    </xf>
    <xf numFmtId="0" fontId="13" fillId="40" borderId="13" xfId="59" applyFont="1" applyFill="1" applyBorder="1" applyAlignment="1" applyProtection="1">
      <alignment horizontal="center"/>
      <protection hidden="1"/>
    </xf>
    <xf numFmtId="0" fontId="3" fillId="40" borderId="13" xfId="59" applyFill="1" applyBorder="1" applyAlignment="1" applyProtection="1">
      <alignment horizontal="center"/>
      <protection hidden="1"/>
    </xf>
    <xf numFmtId="0" fontId="13" fillId="40" borderId="0" xfId="59" applyFont="1" applyFill="1" applyAlignment="1" applyProtection="1">
      <alignment horizontal="left" wrapText="1"/>
      <protection hidden="1"/>
    </xf>
    <xf numFmtId="43" fontId="13" fillId="41" borderId="26" xfId="59" applyNumberFormat="1" applyFont="1" applyFill="1" applyBorder="1" applyAlignment="1">
      <alignment horizontal="center"/>
    </xf>
    <xf numFmtId="0" fontId="3" fillId="0" borderId="30" xfId="59" applyBorder="1"/>
    <xf numFmtId="0" fontId="3" fillId="0" borderId="31" xfId="59" applyBorder="1"/>
    <xf numFmtId="0" fontId="13" fillId="0" borderId="0" xfId="59" applyFont="1" applyAlignment="1">
      <alignment horizontal="left"/>
    </xf>
    <xf numFmtId="0" fontId="13" fillId="0" borderId="28" xfId="59" applyFont="1" applyBorder="1" applyAlignment="1">
      <alignment horizontal="center"/>
    </xf>
    <xf numFmtId="0" fontId="3" fillId="0" borderId="32" xfId="59" applyBorder="1"/>
    <xf numFmtId="0" fontId="3" fillId="0" borderId="33" xfId="59" applyBorder="1"/>
    <xf numFmtId="0" fontId="13" fillId="0" borderId="0" xfId="59" applyFont="1"/>
    <xf numFmtId="165" fontId="0" fillId="0" borderId="0" xfId="0" applyNumberFormat="1" applyProtection="1">
      <protection locked="0"/>
    </xf>
    <xf numFmtId="0" fontId="11" fillId="6" borderId="2" xfId="0" applyFont="1" applyFill="1" applyBorder="1" applyAlignment="1" applyProtection="1">
      <alignment horizontal="center"/>
      <protection locked="0"/>
    </xf>
    <xf numFmtId="14" fontId="48" fillId="0" borderId="2" xfId="0" applyNumberFormat="1" applyFont="1" applyBorder="1" applyAlignment="1" applyProtection="1">
      <alignment horizontal="center"/>
      <protection locked="0"/>
    </xf>
    <xf numFmtId="2" fontId="0" fillId="6" borderId="0" xfId="0" applyNumberFormat="1" applyFill="1" applyAlignment="1" applyProtection="1">
      <alignment horizontal="right"/>
      <protection locked="0"/>
    </xf>
    <xf numFmtId="0" fontId="0" fillId="6" borderId="0" xfId="0" applyFill="1" applyAlignment="1" applyProtection="1">
      <alignment horizontal="right"/>
      <protection locked="0"/>
    </xf>
    <xf numFmtId="9" fontId="0" fillId="6" borderId="0" xfId="0" applyNumberFormat="1" applyFill="1" applyAlignment="1" applyProtection="1">
      <alignment horizontal="right"/>
      <protection locked="0"/>
    </xf>
    <xf numFmtId="0" fontId="6" fillId="43" borderId="0" xfId="0" applyFont="1" applyFill="1" applyAlignment="1" applyProtection="1">
      <alignment horizontal="left"/>
      <protection locked="0"/>
    </xf>
    <xf numFmtId="0" fontId="6" fillId="43" borderId="0" xfId="0" applyFont="1" applyFill="1" applyAlignment="1" applyProtection="1">
      <alignment horizontal="center"/>
      <protection locked="0"/>
    </xf>
    <xf numFmtId="167" fontId="6" fillId="43" borderId="0" xfId="0" applyNumberFormat="1" applyFont="1" applyFill="1" applyAlignment="1" applyProtection="1">
      <alignment horizontal="center"/>
      <protection locked="0"/>
    </xf>
    <xf numFmtId="0" fontId="9" fillId="43" borderId="0" xfId="0" applyFont="1" applyFill="1" applyProtection="1">
      <protection locked="0"/>
    </xf>
    <xf numFmtId="0" fontId="8" fillId="43" borderId="0" xfId="0" applyFont="1" applyFill="1" applyProtection="1">
      <protection locked="0"/>
    </xf>
    <xf numFmtId="14" fontId="8" fillId="43" borderId="0" xfId="0" applyNumberFormat="1" applyFont="1" applyFill="1" applyProtection="1">
      <protection locked="0"/>
    </xf>
    <xf numFmtId="14" fontId="9" fillId="43" borderId="0" xfId="0" applyNumberFormat="1" applyFont="1" applyFill="1" applyProtection="1">
      <protection locked="0"/>
    </xf>
    <xf numFmtId="0" fontId="9" fillId="44" borderId="2" xfId="0" applyFont="1" applyFill="1" applyBorder="1" applyAlignment="1" applyProtection="1">
      <alignment horizontal="center"/>
      <protection locked="0"/>
    </xf>
    <xf numFmtId="0" fontId="9" fillId="44" borderId="5" xfId="0" applyFont="1" applyFill="1" applyBorder="1" applyAlignment="1" applyProtection="1">
      <alignment horizontal="center"/>
      <protection locked="0"/>
    </xf>
    <xf numFmtId="14" fontId="50" fillId="42" borderId="2" xfId="0" applyNumberFormat="1" applyFont="1" applyFill="1" applyBorder="1" applyProtection="1">
      <protection locked="0"/>
    </xf>
    <xf numFmtId="0" fontId="0" fillId="43" borderId="0" xfId="0" applyFill="1" applyProtection="1">
      <protection locked="0"/>
    </xf>
    <xf numFmtId="0" fontId="3" fillId="0" borderId="2" xfId="0" applyFont="1" applyBorder="1" applyProtection="1">
      <protection locked="0"/>
    </xf>
    <xf numFmtId="0" fontId="51" fillId="43" borderId="0" xfId="0" applyFont="1" applyFill="1" applyProtection="1">
      <protection locked="0"/>
    </xf>
    <xf numFmtId="0" fontId="14" fillId="43" borderId="0" xfId="0" applyFont="1" applyFill="1" applyProtection="1">
      <protection locked="0"/>
    </xf>
    <xf numFmtId="0" fontId="50" fillId="43" borderId="0" xfId="0" applyFont="1" applyFill="1" applyProtection="1">
      <protection locked="0"/>
    </xf>
    <xf numFmtId="0" fontId="52" fillId="43" borderId="0" xfId="0" applyFont="1" applyFill="1" applyProtection="1">
      <protection locked="0"/>
    </xf>
    <xf numFmtId="14" fontId="50" fillId="43" borderId="0" xfId="0" applyNumberFormat="1" applyFont="1" applyFill="1" applyProtection="1">
      <protection locked="0"/>
    </xf>
    <xf numFmtId="0" fontId="3" fillId="2" borderId="0" xfId="0" applyFont="1" applyFill="1"/>
    <xf numFmtId="0" fontId="3" fillId="2" borderId="0" xfId="0" applyFont="1" applyFill="1" applyAlignment="1">
      <alignment wrapText="1"/>
    </xf>
    <xf numFmtId="0" fontId="11" fillId="2" borderId="0" xfId="0" applyFont="1" applyFill="1" applyAlignment="1">
      <alignment vertical="top"/>
    </xf>
    <xf numFmtId="0" fontId="11" fillId="4" borderId="0" xfId="0" applyFont="1" applyFill="1" applyAlignment="1" applyProtection="1">
      <alignment horizontal="left"/>
      <protection locked="0"/>
    </xf>
    <xf numFmtId="0" fontId="11" fillId="3" borderId="0" xfId="0" applyFont="1" applyFill="1" applyAlignment="1">
      <alignment horizontal="left"/>
    </xf>
    <xf numFmtId="0" fontId="11" fillId="3" borderId="0" xfId="0" applyFont="1" applyFill="1"/>
    <xf numFmtId="0" fontId="3" fillId="2" borderId="0" xfId="0" applyFont="1" applyFill="1" applyAlignment="1">
      <alignment textRotation="90" wrapText="1"/>
    </xf>
    <xf numFmtId="0" fontId="3" fillId="2" borderId="0" xfId="0" applyFont="1" applyFill="1" applyAlignment="1">
      <alignment horizontal="center" vertical="center"/>
    </xf>
    <xf numFmtId="0" fontId="3" fillId="2" borderId="0" xfId="0" applyFont="1" applyFill="1" applyAlignment="1">
      <alignment horizontal="center" vertical="center" wrapText="1"/>
    </xf>
    <xf numFmtId="0" fontId="3" fillId="3" borderId="0" xfId="0" applyFont="1" applyFill="1" applyAlignment="1">
      <alignment horizontal="left"/>
    </xf>
    <xf numFmtId="0" fontId="3" fillId="3" borderId="0" xfId="0" applyFont="1" applyFill="1"/>
    <xf numFmtId="0" fontId="3" fillId="0" borderId="2" xfId="0" applyFont="1" applyBorder="1" applyAlignment="1" applyProtection="1">
      <alignment horizontal="center" vertical="center" wrapText="1"/>
      <protection locked="0"/>
    </xf>
    <xf numFmtId="0" fontId="3" fillId="4" borderId="0" xfId="0" applyFont="1" applyFill="1" applyAlignment="1" applyProtection="1">
      <alignment horizontal="right"/>
      <protection locked="0"/>
    </xf>
    <xf numFmtId="0" fontId="3" fillId="2" borderId="0" xfId="0" applyFont="1" applyFill="1" applyAlignment="1">
      <alignment horizontal="center" vertical="center" textRotation="15"/>
    </xf>
    <xf numFmtId="0" fontId="3" fillId="4" borderId="2" xfId="0" applyFont="1" applyFill="1" applyBorder="1" applyAlignment="1" applyProtection="1">
      <alignment horizontal="center" vertical="center" wrapText="1"/>
      <protection locked="0"/>
    </xf>
    <xf numFmtId="0" fontId="3" fillId="3" borderId="0" xfId="0" applyFont="1" applyFill="1" applyAlignment="1">
      <alignment horizontal="right"/>
    </xf>
    <xf numFmtId="0" fontId="3" fillId="4" borderId="3" xfId="0" applyFont="1" applyFill="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3" fillId="3" borderId="0" xfId="0" applyFont="1" applyFill="1" applyAlignment="1">
      <alignment horizontal="center" vertical="center"/>
    </xf>
    <xf numFmtId="0" fontId="11" fillId="41" borderId="2" xfId="0" applyFont="1" applyFill="1" applyBorder="1" applyAlignment="1" applyProtection="1">
      <alignment horizontal="center"/>
      <protection locked="0"/>
    </xf>
    <xf numFmtId="0" fontId="11" fillId="41" borderId="0" xfId="0" applyFont="1" applyFill="1" applyAlignment="1" applyProtection="1">
      <alignment horizontal="center"/>
      <protection locked="0"/>
    </xf>
    <xf numFmtId="164" fontId="3" fillId="41" borderId="0" xfId="0" applyNumberFormat="1" applyFont="1" applyFill="1" applyAlignment="1" applyProtection="1">
      <alignment horizontal="right"/>
      <protection locked="0"/>
    </xf>
    <xf numFmtId="164" fontId="3" fillId="41" borderId="2" xfId="0" applyNumberFormat="1" applyFont="1" applyFill="1" applyBorder="1" applyAlignment="1">
      <alignment horizontal="right"/>
    </xf>
    <xf numFmtId="0" fontId="11" fillId="41" borderId="0" xfId="0" applyFont="1" applyFill="1" applyAlignment="1">
      <alignment horizontal="center"/>
    </xf>
    <xf numFmtId="170" fontId="50" fillId="42" borderId="2" xfId="0" applyNumberFormat="1" applyFont="1" applyFill="1" applyBorder="1" applyProtection="1">
      <protection locked="0"/>
    </xf>
    <xf numFmtId="0" fontId="0" fillId="41" borderId="0" xfId="0" applyFill="1"/>
    <xf numFmtId="0" fontId="11" fillId="2" borderId="0" xfId="0" applyFont="1" applyFill="1" applyAlignment="1">
      <alignment horizontal="right"/>
    </xf>
    <xf numFmtId="0" fontId="3" fillId="2" borderId="0" xfId="59" applyFill="1" applyAlignment="1">
      <alignment horizontal="right"/>
    </xf>
    <xf numFmtId="0" fontId="11" fillId="2" borderId="0" xfId="59" applyFont="1" applyFill="1"/>
    <xf numFmtId="3" fontId="47" fillId="45" borderId="0" xfId="85" applyNumberFormat="1" applyFill="1"/>
    <xf numFmtId="3" fontId="3" fillId="2" borderId="0" xfId="59" applyNumberFormat="1" applyFill="1"/>
    <xf numFmtId="0" fontId="3" fillId="2" borderId="0" xfId="59" applyFill="1"/>
    <xf numFmtId="164" fontId="11" fillId="2" borderId="0" xfId="59" applyNumberFormat="1" applyFont="1" applyFill="1"/>
    <xf numFmtId="3" fontId="47" fillId="46" borderId="0" xfId="85" applyNumberFormat="1" applyFill="1"/>
    <xf numFmtId="3" fontId="47" fillId="8" borderId="0" xfId="85" applyNumberFormat="1" applyFill="1"/>
    <xf numFmtId="3" fontId="3" fillId="2" borderId="0" xfId="60" applyNumberFormat="1" applyFont="1" applyFill="1"/>
    <xf numFmtId="0" fontId="11" fillId="2" borderId="0" xfId="59" applyFont="1" applyFill="1" applyAlignment="1">
      <alignment horizontal="center"/>
    </xf>
    <xf numFmtId="0" fontId="3" fillId="41" borderId="0" xfId="59" applyFill="1"/>
    <xf numFmtId="0" fontId="11" fillId="41" borderId="0" xfId="59" applyFont="1" applyFill="1"/>
    <xf numFmtId="3" fontId="3" fillId="41" borderId="0" xfId="60" applyNumberFormat="1" applyFont="1" applyFill="1"/>
    <xf numFmtId="0" fontId="0" fillId="6" borderId="0" xfId="0" applyFill="1" applyAlignment="1">
      <alignment wrapText="1"/>
    </xf>
    <xf numFmtId="0" fontId="11" fillId="6" borderId="0" xfId="0" applyFont="1" applyFill="1"/>
    <xf numFmtId="164" fontId="11" fillId="6" borderId="0" xfId="0" applyNumberFormat="1" applyFont="1" applyFill="1"/>
    <xf numFmtId="170" fontId="3" fillId="0" borderId="0" xfId="0" applyNumberFormat="1" applyFont="1" applyAlignment="1" applyProtection="1">
      <alignment horizontal="right"/>
      <protection locked="0"/>
    </xf>
    <xf numFmtId="10" fontId="54" fillId="43" borderId="0" xfId="0" applyNumberFormat="1" applyFont="1" applyFill="1" applyProtection="1">
      <protection locked="0"/>
    </xf>
    <xf numFmtId="0" fontId="0" fillId="0" borderId="2" xfId="0" applyBorder="1" applyProtection="1">
      <protection locked="0"/>
    </xf>
    <xf numFmtId="0" fontId="26" fillId="0" borderId="24" xfId="0" applyFont="1" applyBorder="1" applyProtection="1">
      <protection locked="0"/>
    </xf>
    <xf numFmtId="0" fontId="0" fillId="0" borderId="24" xfId="0" applyBorder="1" applyProtection="1">
      <protection locked="0"/>
    </xf>
    <xf numFmtId="0" fontId="0" fillId="0" borderId="10" xfId="0" applyBorder="1" applyProtection="1">
      <protection locked="0"/>
    </xf>
    <xf numFmtId="0" fontId="0" fillId="0" borderId="4" xfId="0" applyBorder="1" applyProtection="1">
      <protection locked="0"/>
    </xf>
    <xf numFmtId="0" fontId="0" fillId="0" borderId="14" xfId="0" applyBorder="1" applyProtection="1">
      <protection locked="0"/>
    </xf>
    <xf numFmtId="0" fontId="0" fillId="0" borderId="9" xfId="0" applyBorder="1" applyProtection="1">
      <protection locked="0"/>
    </xf>
    <xf numFmtId="0" fontId="7" fillId="0" borderId="24" xfId="0" applyFont="1" applyBorder="1" applyProtection="1">
      <protection locked="0"/>
    </xf>
    <xf numFmtId="0" fontId="7" fillId="0" borderId="10" xfId="0" applyFont="1" applyBorder="1" applyProtection="1">
      <protection locked="0"/>
    </xf>
    <xf numFmtId="0" fontId="7" fillId="0" borderId="4" xfId="0" applyFont="1" applyBorder="1" applyProtection="1">
      <protection locked="0"/>
    </xf>
    <xf numFmtId="0" fontId="0" fillId="0" borderId="11" xfId="0" applyBorder="1" applyProtection="1">
      <protection locked="0"/>
    </xf>
    <xf numFmtId="0" fontId="0" fillId="0" borderId="12" xfId="0" applyBorder="1" applyProtection="1">
      <protection locked="0"/>
    </xf>
    <xf numFmtId="0" fontId="7" fillId="0" borderId="13" xfId="0" applyFont="1" applyBorder="1" applyProtection="1">
      <protection locked="0"/>
    </xf>
    <xf numFmtId="0" fontId="7" fillId="0" borderId="14" xfId="0" applyFont="1" applyBorder="1" applyProtection="1">
      <protection locked="0"/>
    </xf>
    <xf numFmtId="9" fontId="26" fillId="0" borderId="0" xfId="14" applyFont="1" applyBorder="1" applyAlignment="1" applyProtection="1">
      <alignment horizontal="left"/>
      <protection locked="0"/>
    </xf>
    <xf numFmtId="10" fontId="0" fillId="47" borderId="2" xfId="14" applyNumberFormat="1" applyFont="1" applyFill="1" applyBorder="1" applyProtection="1"/>
    <xf numFmtId="0" fontId="53" fillId="0" borderId="4" xfId="0" applyFont="1" applyBorder="1"/>
    <xf numFmtId="0" fontId="3" fillId="0" borderId="13" xfId="0" applyFont="1" applyBorder="1" applyProtection="1">
      <protection locked="0"/>
    </xf>
    <xf numFmtId="164" fontId="10" fillId="7" borderId="3" xfId="0" applyNumberFormat="1" applyFont="1" applyFill="1" applyBorder="1" applyAlignment="1" applyProtection="1">
      <alignment horizontal="right"/>
      <protection locked="0"/>
    </xf>
    <xf numFmtId="164" fontId="10" fillId="7" borderId="3" xfId="0" applyNumberFormat="1" applyFont="1" applyFill="1" applyBorder="1" applyAlignment="1">
      <alignment horizontal="right"/>
    </xf>
    <xf numFmtId="164" fontId="10" fillId="0" borderId="3" xfId="0" applyNumberFormat="1" applyFont="1" applyBorder="1" applyAlignment="1">
      <alignment horizontal="right"/>
    </xf>
    <xf numFmtId="0" fontId="10" fillId="41" borderId="0" xfId="0" applyFont="1" applyFill="1" applyAlignment="1" applyProtection="1">
      <alignment horizontal="left"/>
      <protection locked="0"/>
    </xf>
    <xf numFmtId="0" fontId="3" fillId="41" borderId="0" xfId="0" applyFont="1" applyFill="1" applyAlignment="1" applyProtection="1">
      <alignment horizontal="right"/>
      <protection locked="0"/>
    </xf>
    <xf numFmtId="0" fontId="3" fillId="0" borderId="0" xfId="0" applyFont="1"/>
    <xf numFmtId="0" fontId="3" fillId="0" borderId="2" xfId="0" applyFont="1" applyBorder="1" applyAlignment="1" applyProtection="1">
      <alignment horizontal="center"/>
      <protection locked="0"/>
    </xf>
    <xf numFmtId="0" fontId="55" fillId="49" borderId="37" xfId="86" applyFont="1" applyFill="1" applyBorder="1" applyAlignment="1">
      <alignment horizontal="center" vertical="top" wrapText="1"/>
    </xf>
    <xf numFmtId="0" fontId="55" fillId="49" borderId="38" xfId="86" applyFont="1" applyFill="1" applyBorder="1" applyAlignment="1">
      <alignment horizontal="center" vertical="top" wrapText="1"/>
    </xf>
    <xf numFmtId="0" fontId="57" fillId="48" borderId="40" xfId="59" applyFont="1" applyFill="1" applyBorder="1" applyAlignment="1">
      <alignment horizontal="center" vertical="top"/>
    </xf>
    <xf numFmtId="164" fontId="57" fillId="48" borderId="40" xfId="59" applyNumberFormat="1" applyFont="1" applyFill="1" applyBorder="1" applyAlignment="1">
      <alignment horizontal="center" vertical="top"/>
    </xf>
    <xf numFmtId="164" fontId="58" fillId="48" borderId="40" xfId="59" applyNumberFormat="1" applyFont="1" applyFill="1" applyBorder="1" applyAlignment="1">
      <alignment horizontal="center" vertical="top"/>
    </xf>
    <xf numFmtId="0" fontId="57" fillId="48" borderId="43" xfId="59" applyFont="1" applyFill="1" applyBorder="1" applyAlignment="1">
      <alignment horizontal="center" vertical="top"/>
    </xf>
    <xf numFmtId="0" fontId="57" fillId="48" borderId="40" xfId="59" applyFont="1" applyFill="1" applyBorder="1" applyAlignment="1">
      <alignment horizontal="center" vertical="top" wrapText="1"/>
    </xf>
    <xf numFmtId="164" fontId="57" fillId="48" borderId="44" xfId="59" applyNumberFormat="1" applyFont="1" applyFill="1" applyBorder="1" applyAlignment="1">
      <alignment horizontal="center" vertical="top"/>
    </xf>
    <xf numFmtId="164" fontId="57" fillId="48" borderId="45" xfId="59" applyNumberFormat="1" applyFont="1" applyFill="1" applyBorder="1" applyAlignment="1">
      <alignment horizontal="center" vertical="top"/>
    </xf>
    <xf numFmtId="0" fontId="57" fillId="48" borderId="46" xfId="59" applyFont="1" applyFill="1" applyBorder="1" applyAlignment="1">
      <alignment horizontal="center" vertical="top"/>
    </xf>
    <xf numFmtId="0" fontId="57" fillId="48" borderId="47" xfId="59" applyFont="1" applyFill="1" applyBorder="1" applyAlignment="1">
      <alignment horizontal="center" vertical="top" wrapText="1"/>
    </xf>
    <xf numFmtId="0" fontId="57" fillId="48" borderId="47" xfId="59" applyFont="1" applyFill="1" applyBorder="1" applyAlignment="1">
      <alignment horizontal="center" vertical="top"/>
    </xf>
    <xf numFmtId="164" fontId="57" fillId="48" borderId="47" xfId="59" applyNumberFormat="1" applyFont="1" applyFill="1" applyBorder="1" applyAlignment="1">
      <alignment horizontal="center" vertical="top"/>
    </xf>
    <xf numFmtId="164" fontId="58" fillId="48" borderId="47" xfId="59" applyNumberFormat="1" applyFont="1" applyFill="1" applyBorder="1" applyAlignment="1">
      <alignment horizontal="center" vertical="top"/>
    </xf>
    <xf numFmtId="164" fontId="57" fillId="48" borderId="48" xfId="59" applyNumberFormat="1" applyFont="1" applyFill="1" applyBorder="1" applyAlignment="1">
      <alignment horizontal="center" vertical="top"/>
    </xf>
    <xf numFmtId="0" fontId="57" fillId="48" borderId="49" xfId="59" applyFont="1" applyFill="1" applyBorder="1" applyAlignment="1">
      <alignment horizontal="center" vertical="top"/>
    </xf>
    <xf numFmtId="0" fontId="57" fillId="48" borderId="50" xfId="59" applyFont="1" applyFill="1" applyBorder="1" applyAlignment="1">
      <alignment horizontal="center" vertical="top" wrapText="1"/>
    </xf>
    <xf numFmtId="0" fontId="57" fillId="48" borderId="50" xfId="59" applyFont="1" applyFill="1" applyBorder="1" applyAlignment="1">
      <alignment horizontal="center" vertical="top"/>
    </xf>
    <xf numFmtId="164" fontId="57" fillId="48" borderId="50" xfId="59" applyNumberFormat="1" applyFont="1" applyFill="1" applyBorder="1" applyAlignment="1">
      <alignment horizontal="center" vertical="top"/>
    </xf>
    <xf numFmtId="164" fontId="58" fillId="48" borderId="50" xfId="59" applyNumberFormat="1" applyFont="1" applyFill="1" applyBorder="1" applyAlignment="1">
      <alignment horizontal="center" vertical="top"/>
    </xf>
    <xf numFmtId="164" fontId="57" fillId="48" borderId="51" xfId="59" applyNumberFormat="1" applyFont="1" applyFill="1" applyBorder="1" applyAlignment="1">
      <alignment horizontal="center" vertical="top"/>
    </xf>
    <xf numFmtId="0" fontId="59" fillId="51" borderId="41" xfId="87" applyFont="1" applyFill="1" applyBorder="1" applyAlignment="1">
      <alignment horizontal="center" vertical="top"/>
    </xf>
    <xf numFmtId="0" fontId="59" fillId="51" borderId="23" xfId="87" applyFont="1" applyFill="1" applyAlignment="1">
      <alignment horizontal="center" vertical="top" wrapText="1"/>
    </xf>
    <xf numFmtId="0" fontId="59" fillId="51" borderId="23" xfId="87" applyFont="1" applyFill="1" applyAlignment="1">
      <alignment horizontal="center" vertical="top"/>
    </xf>
    <xf numFmtId="164" fontId="59" fillId="51" borderId="23" xfId="87" applyNumberFormat="1" applyFont="1" applyFill="1" applyAlignment="1">
      <alignment horizontal="center" vertical="top"/>
    </xf>
    <xf numFmtId="164" fontId="60" fillId="51" borderId="23" xfId="87" applyNumberFormat="1" applyFont="1" applyFill="1" applyAlignment="1">
      <alignment horizontal="center" vertical="top"/>
    </xf>
    <xf numFmtId="164" fontId="59" fillId="51" borderId="23" xfId="87" applyNumberFormat="1" applyFont="1" applyFill="1" applyAlignment="1">
      <alignment horizontal="right" vertical="top"/>
    </xf>
    <xf numFmtId="164" fontId="59" fillId="51" borderId="42" xfId="87" applyNumberFormat="1" applyFont="1" applyFill="1" applyBorder="1" applyAlignment="1">
      <alignment horizontal="center" vertical="top"/>
    </xf>
    <xf numFmtId="0" fontId="55" fillId="52" borderId="41" xfId="87" applyFont="1" applyFill="1" applyBorder="1" applyAlignment="1">
      <alignment horizontal="center" vertical="top"/>
    </xf>
    <xf numFmtId="0" fontId="55" fillId="52" borderId="23" xfId="87" applyFont="1" applyFill="1" applyAlignment="1">
      <alignment horizontal="center" vertical="top" wrapText="1"/>
    </xf>
    <xf numFmtId="0" fontId="55" fillId="52" borderId="23" xfId="87" applyFont="1" applyFill="1" applyAlignment="1">
      <alignment horizontal="center" vertical="top"/>
    </xf>
    <xf numFmtId="164" fontId="55" fillId="52" borderId="23" xfId="87" applyNumberFormat="1" applyFont="1" applyFill="1" applyAlignment="1">
      <alignment horizontal="center" vertical="top"/>
    </xf>
    <xf numFmtId="164" fontId="56" fillId="52" borderId="23" xfId="87" applyNumberFormat="1" applyFont="1" applyFill="1" applyAlignment="1">
      <alignment horizontal="center" vertical="top"/>
    </xf>
    <xf numFmtId="164" fontId="55" fillId="52" borderId="23" xfId="87" applyNumberFormat="1" applyFont="1" applyFill="1" applyAlignment="1">
      <alignment horizontal="right" vertical="top"/>
    </xf>
    <xf numFmtId="164" fontId="55" fillId="52" borderId="42" xfId="87" applyNumberFormat="1" applyFont="1" applyFill="1" applyBorder="1" applyAlignment="1">
      <alignment horizontal="center" vertical="top"/>
    </xf>
    <xf numFmtId="0" fontId="57" fillId="48" borderId="52" xfId="59" applyFont="1" applyFill="1" applyBorder="1" applyAlignment="1">
      <alignment horizontal="center" vertical="top"/>
    </xf>
    <xf numFmtId="0" fontId="57" fillId="48" borderId="44" xfId="59" applyFont="1" applyFill="1" applyBorder="1" applyAlignment="1">
      <alignment horizontal="center" vertical="top" wrapText="1"/>
    </xf>
    <xf numFmtId="0" fontId="57" fillId="48" borderId="44" xfId="59" applyFont="1" applyFill="1" applyBorder="1" applyAlignment="1">
      <alignment horizontal="center" vertical="top"/>
    </xf>
    <xf numFmtId="164" fontId="57" fillId="48" borderId="53" xfId="59" applyNumberFormat="1" applyFont="1" applyFill="1" applyBorder="1" applyAlignment="1">
      <alignment horizontal="center" vertical="top"/>
    </xf>
    <xf numFmtId="164" fontId="58" fillId="48" borderId="53" xfId="59" applyNumberFormat="1" applyFont="1" applyFill="1" applyBorder="1" applyAlignment="1">
      <alignment horizontal="center" vertical="top"/>
    </xf>
    <xf numFmtId="0" fontId="57" fillId="48" borderId="53" xfId="59" applyFont="1" applyFill="1" applyBorder="1" applyAlignment="1">
      <alignment horizontal="center" vertical="top"/>
    </xf>
    <xf numFmtId="164" fontId="57" fillId="48" borderId="54" xfId="59" applyNumberFormat="1" applyFont="1" applyFill="1" applyBorder="1" applyAlignment="1">
      <alignment horizontal="center" vertical="top"/>
    </xf>
    <xf numFmtId="0" fontId="55" fillId="53" borderId="41" xfId="87" applyFont="1" applyFill="1" applyBorder="1" applyAlignment="1">
      <alignment horizontal="center" vertical="top"/>
    </xf>
    <xf numFmtId="0" fontId="55" fillId="53" borderId="23" xfId="87" applyFont="1" applyFill="1" applyAlignment="1">
      <alignment horizontal="center" vertical="top" wrapText="1"/>
    </xf>
    <xf numFmtId="0" fontId="55" fillId="53" borderId="23" xfId="87" applyFont="1" applyFill="1" applyAlignment="1">
      <alignment horizontal="center" vertical="top"/>
    </xf>
    <xf numFmtId="164" fontId="55" fillId="53" borderId="23" xfId="87" applyNumberFormat="1" applyFont="1" applyFill="1" applyAlignment="1">
      <alignment horizontal="center" vertical="top"/>
    </xf>
    <xf numFmtId="164" fontId="56" fillId="53" borderId="23" xfId="87" applyNumberFormat="1" applyFont="1" applyFill="1" applyAlignment="1">
      <alignment horizontal="center" vertical="top"/>
    </xf>
    <xf numFmtId="164" fontId="55" fillId="53" borderId="23" xfId="87" applyNumberFormat="1" applyFont="1" applyFill="1" applyAlignment="1">
      <alignment horizontal="right" vertical="top"/>
    </xf>
    <xf numFmtId="164" fontId="55" fillId="53" borderId="42" xfId="87" applyNumberFormat="1" applyFont="1" applyFill="1" applyBorder="1" applyAlignment="1">
      <alignment horizontal="center" vertical="top"/>
    </xf>
    <xf numFmtId="0" fontId="55" fillId="54" borderId="41" xfId="87" applyFont="1" applyFill="1" applyBorder="1" applyAlignment="1">
      <alignment horizontal="center" vertical="top"/>
    </xf>
    <xf numFmtId="0" fontId="55" fillId="54" borderId="23" xfId="87" applyFont="1" applyFill="1" applyAlignment="1">
      <alignment horizontal="center" vertical="top" wrapText="1"/>
    </xf>
    <xf numFmtId="0" fontId="55" fillId="54" borderId="23" xfId="87" applyFont="1" applyFill="1" applyAlignment="1">
      <alignment horizontal="center" vertical="top"/>
    </xf>
    <xf numFmtId="165" fontId="55" fillId="54" borderId="23" xfId="87" applyNumberFormat="1" applyFont="1" applyFill="1" applyAlignment="1">
      <alignment horizontal="center" vertical="top"/>
    </xf>
    <xf numFmtId="164" fontId="55" fillId="54" borderId="23" xfId="87" applyNumberFormat="1" applyFont="1" applyFill="1" applyAlignment="1">
      <alignment horizontal="center" vertical="top"/>
    </xf>
    <xf numFmtId="164" fontId="55" fillId="54" borderId="23" xfId="87" applyNumberFormat="1" applyFont="1" applyFill="1" applyAlignment="1">
      <alignment horizontal="right" vertical="top"/>
    </xf>
    <xf numFmtId="164" fontId="55" fillId="54" borderId="42" xfId="87" applyNumberFormat="1" applyFont="1" applyFill="1" applyBorder="1" applyAlignment="1">
      <alignment horizontal="center" vertical="top"/>
    </xf>
    <xf numFmtId="164" fontId="58" fillId="48" borderId="55" xfId="59" applyNumberFormat="1" applyFont="1" applyFill="1" applyBorder="1" applyAlignment="1">
      <alignment horizontal="center" vertical="top"/>
    </xf>
    <xf numFmtId="164" fontId="58" fillId="48" borderId="56" xfId="59" applyNumberFormat="1" applyFont="1" applyFill="1" applyBorder="1" applyAlignment="1">
      <alignment horizontal="center" vertical="top"/>
    </xf>
    <xf numFmtId="164" fontId="55" fillId="52" borderId="57" xfId="87" applyNumberFormat="1" applyFont="1" applyFill="1" applyBorder="1" applyAlignment="1">
      <alignment horizontal="center" vertical="top"/>
    </xf>
    <xf numFmtId="164" fontId="57" fillId="48" borderId="58" xfId="59" applyNumberFormat="1" applyFont="1" applyFill="1" applyBorder="1" applyAlignment="1">
      <alignment horizontal="center" vertical="top"/>
    </xf>
    <xf numFmtId="0" fontId="59" fillId="50" borderId="59" xfId="87" applyFont="1" applyFill="1" applyBorder="1" applyAlignment="1">
      <alignment horizontal="center" vertical="top"/>
    </xf>
    <xf numFmtId="0" fontId="59" fillId="50" borderId="60" xfId="87" applyFont="1" applyFill="1" applyBorder="1" applyAlignment="1">
      <alignment horizontal="center" vertical="top" wrapText="1"/>
    </xf>
    <xf numFmtId="0" fontId="59" fillId="50" borderId="60" xfId="87" applyFont="1" applyFill="1" applyBorder="1" applyAlignment="1">
      <alignment horizontal="center" vertical="top"/>
    </xf>
    <xf numFmtId="164" fontId="59" fillId="50" borderId="60" xfId="87" applyNumberFormat="1" applyFont="1" applyFill="1" applyBorder="1" applyAlignment="1">
      <alignment horizontal="center" vertical="top"/>
    </xf>
    <xf numFmtId="164" fontId="60" fillId="50" borderId="60" xfId="87" applyNumberFormat="1" applyFont="1" applyFill="1" applyBorder="1" applyAlignment="1">
      <alignment horizontal="center" vertical="top"/>
    </xf>
    <xf numFmtId="164" fontId="59" fillId="50" borderId="60" xfId="87" applyNumberFormat="1" applyFont="1" applyFill="1" applyBorder="1" applyAlignment="1">
      <alignment horizontal="right" vertical="top"/>
    </xf>
    <xf numFmtId="164" fontId="59" fillId="50" borderId="61" xfId="87" applyNumberFormat="1" applyFont="1" applyFill="1" applyBorder="1" applyAlignment="1">
      <alignment horizontal="center" vertical="top"/>
    </xf>
    <xf numFmtId="165" fontId="55" fillId="49" borderId="36" xfId="86" applyNumberFormat="1" applyFont="1" applyFill="1" applyBorder="1" applyAlignment="1">
      <alignment horizontal="center" vertical="top" wrapText="1"/>
    </xf>
    <xf numFmtId="165" fontId="56" fillId="49" borderId="36" xfId="86" applyNumberFormat="1" applyFont="1" applyFill="1" applyBorder="1" applyAlignment="1">
      <alignment horizontal="center" vertical="top" wrapText="1"/>
    </xf>
    <xf numFmtId="0" fontId="55" fillId="49" borderId="62" xfId="86" applyFont="1" applyFill="1" applyBorder="1" applyAlignment="1">
      <alignment horizontal="center" vertical="top" wrapText="1"/>
    </xf>
    <xf numFmtId="164" fontId="58" fillId="0" borderId="47" xfId="59" applyNumberFormat="1" applyFont="1" applyBorder="1" applyAlignment="1">
      <alignment horizontal="center" vertical="top"/>
    </xf>
    <xf numFmtId="0" fontId="55" fillId="56" borderId="37" xfId="86" applyFont="1" applyFill="1" applyBorder="1" applyAlignment="1">
      <alignment horizontal="center" vertical="top" wrapText="1"/>
    </xf>
    <xf numFmtId="0" fontId="55" fillId="56" borderId="38" xfId="86" applyFont="1" applyFill="1" applyBorder="1" applyAlignment="1">
      <alignment horizontal="center" vertical="top" wrapText="1"/>
    </xf>
    <xf numFmtId="165" fontId="55" fillId="56" borderId="36" xfId="86" applyNumberFormat="1" applyFont="1" applyFill="1" applyBorder="1" applyAlignment="1">
      <alignment horizontal="center" vertical="top" wrapText="1"/>
    </xf>
    <xf numFmtId="165" fontId="56" fillId="56" borderId="36" xfId="86" applyNumberFormat="1" applyFont="1" applyFill="1" applyBorder="1" applyAlignment="1">
      <alignment horizontal="center" vertical="top" wrapText="1"/>
    </xf>
    <xf numFmtId="0" fontId="55" fillId="56" borderId="62" xfId="86" applyFont="1" applyFill="1" applyBorder="1" applyAlignment="1">
      <alignment horizontal="center" vertical="top" wrapText="1"/>
    </xf>
    <xf numFmtId="0" fontId="59" fillId="55" borderId="59" xfId="87" applyFont="1" applyFill="1" applyBorder="1" applyAlignment="1">
      <alignment horizontal="center" vertical="top"/>
    </xf>
    <xf numFmtId="0" fontId="59" fillId="55" borderId="60" xfId="87" applyFont="1" applyFill="1" applyBorder="1" applyAlignment="1">
      <alignment horizontal="center" vertical="top" wrapText="1"/>
    </xf>
    <xf numFmtId="0" fontId="59" fillId="55" borderId="60" xfId="87" applyFont="1" applyFill="1" applyBorder="1" applyAlignment="1">
      <alignment horizontal="center" vertical="top"/>
    </xf>
    <xf numFmtId="164" fontId="59" fillId="55" borderId="60" xfId="87" applyNumberFormat="1" applyFont="1" applyFill="1" applyBorder="1" applyAlignment="1">
      <alignment horizontal="center" vertical="top"/>
    </xf>
    <xf numFmtId="164" fontId="60" fillId="55" borderId="60" xfId="87" applyNumberFormat="1" applyFont="1" applyFill="1" applyBorder="1" applyAlignment="1">
      <alignment horizontal="center" vertical="top"/>
    </xf>
    <xf numFmtId="164" fontId="59" fillId="55" borderId="60" xfId="87" applyNumberFormat="1" applyFont="1" applyFill="1" applyBorder="1" applyAlignment="1">
      <alignment horizontal="right" vertical="top"/>
    </xf>
    <xf numFmtId="164" fontId="59" fillId="55" borderId="61" xfId="87" applyNumberFormat="1" applyFont="1" applyFill="1" applyBorder="1" applyAlignment="1">
      <alignment horizontal="center" vertical="top"/>
    </xf>
    <xf numFmtId="0" fontId="59" fillId="57" borderId="41" xfId="87" applyFont="1" applyFill="1" applyBorder="1" applyAlignment="1">
      <alignment horizontal="center" vertical="top"/>
    </xf>
    <xf numFmtId="0" fontId="59" fillId="57" borderId="23" xfId="87" applyFont="1" applyFill="1" applyAlignment="1">
      <alignment horizontal="center" vertical="top" wrapText="1"/>
    </xf>
    <xf numFmtId="0" fontId="59" fillId="57" borderId="23" xfId="87" applyFont="1" applyFill="1" applyAlignment="1">
      <alignment horizontal="center" vertical="top"/>
    </xf>
    <xf numFmtId="164" fontId="59" fillId="57" borderId="23" xfId="87" applyNumberFormat="1" applyFont="1" applyFill="1" applyAlignment="1">
      <alignment horizontal="center" vertical="top"/>
    </xf>
    <xf numFmtId="164" fontId="60" fillId="57" borderId="23" xfId="87" applyNumberFormat="1" applyFont="1" applyFill="1" applyAlignment="1">
      <alignment horizontal="center" vertical="top"/>
    </xf>
    <xf numFmtId="164" fontId="59" fillId="57" borderId="23" xfId="87" applyNumberFormat="1" applyFont="1" applyFill="1" applyAlignment="1">
      <alignment horizontal="right" vertical="top"/>
    </xf>
    <xf numFmtId="164" fontId="59" fillId="57" borderId="42" xfId="87" applyNumberFormat="1" applyFont="1" applyFill="1" applyBorder="1" applyAlignment="1">
      <alignment horizontal="center" vertical="top"/>
    </xf>
    <xf numFmtId="0" fontId="55" fillId="58" borderId="41" xfId="87" applyFont="1" applyFill="1" applyBorder="1" applyAlignment="1">
      <alignment horizontal="center" vertical="top"/>
    </xf>
    <xf numFmtId="0" fontId="55" fillId="58" borderId="23" xfId="87" applyFont="1" applyFill="1" applyAlignment="1">
      <alignment horizontal="center" vertical="top" wrapText="1"/>
    </xf>
    <xf numFmtId="0" fontId="55" fillId="58" borderId="23" xfId="87" applyFont="1" applyFill="1" applyAlignment="1">
      <alignment horizontal="center" vertical="top"/>
    </xf>
    <xf numFmtId="164" fontId="55" fillId="58" borderId="23" xfId="87" applyNumberFormat="1" applyFont="1" applyFill="1" applyAlignment="1">
      <alignment horizontal="center" vertical="top"/>
    </xf>
    <xf numFmtId="164" fontId="56" fillId="58" borderId="23" xfId="87" applyNumberFormat="1" applyFont="1" applyFill="1" applyAlignment="1">
      <alignment horizontal="center" vertical="top"/>
    </xf>
    <xf numFmtId="164" fontId="55" fillId="58" borderId="57" xfId="87" applyNumberFormat="1" applyFont="1" applyFill="1" applyBorder="1" applyAlignment="1">
      <alignment horizontal="center" vertical="top"/>
    </xf>
    <xf numFmtId="164" fontId="55" fillId="58" borderId="23" xfId="87" applyNumberFormat="1" applyFont="1" applyFill="1" applyAlignment="1">
      <alignment horizontal="right" vertical="top"/>
    </xf>
    <xf numFmtId="164" fontId="55" fillId="58" borderId="42" xfId="87" applyNumberFormat="1" applyFont="1" applyFill="1" applyBorder="1" applyAlignment="1">
      <alignment horizontal="center" vertical="top"/>
    </xf>
    <xf numFmtId="0" fontId="55" fillId="59" borderId="41" xfId="87" applyFont="1" applyFill="1" applyBorder="1" applyAlignment="1">
      <alignment horizontal="center" vertical="top"/>
    </xf>
    <xf numFmtId="0" fontId="55" fillId="59" borderId="23" xfId="87" applyFont="1" applyFill="1" applyAlignment="1">
      <alignment horizontal="center" vertical="top" wrapText="1"/>
    </xf>
    <xf numFmtId="0" fontId="55" fillId="59" borderId="23" xfId="87" applyFont="1" applyFill="1" applyAlignment="1">
      <alignment horizontal="center" vertical="top"/>
    </xf>
    <xf numFmtId="164" fontId="55" fillId="59" borderId="23" xfId="87" applyNumberFormat="1" applyFont="1" applyFill="1" applyAlignment="1">
      <alignment horizontal="center" vertical="top"/>
    </xf>
    <xf numFmtId="164" fontId="56" fillId="59" borderId="23" xfId="87" applyNumberFormat="1" applyFont="1" applyFill="1" applyAlignment="1">
      <alignment horizontal="center" vertical="top"/>
    </xf>
    <xf numFmtId="164" fontId="55" fillId="59" borderId="23" xfId="87" applyNumberFormat="1" applyFont="1" applyFill="1" applyAlignment="1">
      <alignment horizontal="right" vertical="top"/>
    </xf>
    <xf numFmtId="164" fontId="55" fillId="59" borderId="42" xfId="87" applyNumberFormat="1" applyFont="1" applyFill="1" applyBorder="1" applyAlignment="1">
      <alignment horizontal="center" vertical="top"/>
    </xf>
    <xf numFmtId="0" fontId="55" fillId="60" borderId="41" xfId="87" applyFont="1" applyFill="1" applyBorder="1" applyAlignment="1">
      <alignment horizontal="center" vertical="top"/>
    </xf>
    <xf numFmtId="0" fontId="55" fillId="60" borderId="23" xfId="87" applyFont="1" applyFill="1" applyAlignment="1">
      <alignment horizontal="center" vertical="top" wrapText="1"/>
    </xf>
    <xf numFmtId="0" fontId="55" fillId="60" borderId="23" xfId="87" applyFont="1" applyFill="1" applyAlignment="1">
      <alignment horizontal="center" vertical="top"/>
    </xf>
    <xf numFmtId="165" fontId="55" fillId="60" borderId="23" xfId="87" applyNumberFormat="1" applyFont="1" applyFill="1" applyAlignment="1">
      <alignment horizontal="center" vertical="top"/>
    </xf>
    <xf numFmtId="164" fontId="55" fillId="60" borderId="23" xfId="87" applyNumberFormat="1" applyFont="1" applyFill="1" applyAlignment="1">
      <alignment horizontal="center" vertical="top"/>
    </xf>
    <xf numFmtId="164" fontId="55" fillId="60" borderId="23" xfId="87" applyNumberFormat="1" applyFont="1" applyFill="1" applyAlignment="1">
      <alignment horizontal="right" vertical="top"/>
    </xf>
    <xf numFmtId="164" fontId="55" fillId="60" borderId="42" xfId="87" applyNumberFormat="1" applyFont="1" applyFill="1" applyBorder="1" applyAlignment="1">
      <alignment horizontal="center" vertical="top"/>
    </xf>
    <xf numFmtId="0" fontId="10" fillId="6" borderId="0" xfId="0" applyFont="1" applyFill="1"/>
    <xf numFmtId="2" fontId="22" fillId="0" borderId="0" xfId="0" applyNumberFormat="1" applyFont="1" applyAlignment="1" applyProtection="1">
      <alignment horizontal="left"/>
      <protection locked="0"/>
    </xf>
    <xf numFmtId="3" fontId="47" fillId="41" borderId="0" xfId="85" applyNumberFormat="1" applyFill="1"/>
    <xf numFmtId="0" fontId="3" fillId="41" borderId="0" xfId="59" applyFill="1" applyAlignment="1">
      <alignment horizontal="right"/>
    </xf>
    <xf numFmtId="3" fontId="3" fillId="41" borderId="0" xfId="59" applyNumberFormat="1" applyFill="1"/>
    <xf numFmtId="0" fontId="13" fillId="41" borderId="0" xfId="0" applyFont="1" applyFill="1"/>
    <xf numFmtId="49" fontId="3" fillId="41" borderId="0" xfId="0" applyNumberFormat="1" applyFont="1" applyFill="1" applyAlignment="1">
      <alignment horizontal="center"/>
    </xf>
    <xf numFmtId="0" fontId="0" fillId="61" borderId="0" xfId="0" applyFill="1"/>
    <xf numFmtId="0" fontId="43" fillId="0" borderId="25" xfId="0" applyFont="1" applyBorder="1"/>
    <xf numFmtId="44" fontId="0" fillId="8" borderId="25" xfId="88" applyFont="1" applyFill="1" applyBorder="1"/>
    <xf numFmtId="164" fontId="11" fillId="48" borderId="25" xfId="0" applyNumberFormat="1" applyFont="1" applyFill="1" applyBorder="1"/>
    <xf numFmtId="0" fontId="11" fillId="8" borderId="26" xfId="0" applyFont="1" applyFill="1" applyBorder="1"/>
    <xf numFmtId="0" fontId="43" fillId="0" borderId="71" xfId="0" applyFont="1" applyBorder="1" applyAlignment="1">
      <alignment horizontal="center"/>
    </xf>
    <xf numFmtId="0" fontId="43" fillId="0" borderId="24" xfId="0" applyFont="1" applyBorder="1" applyAlignment="1">
      <alignment horizontal="center"/>
    </xf>
    <xf numFmtId="0" fontId="43" fillId="0" borderId="72" xfId="0" applyFont="1" applyBorder="1" applyAlignment="1">
      <alignment horizontal="center"/>
    </xf>
    <xf numFmtId="0" fontId="24" fillId="8" borderId="73" xfId="0" applyFont="1" applyFill="1" applyBorder="1"/>
    <xf numFmtId="171" fontId="0" fillId="8" borderId="74" xfId="88" applyNumberFormat="1" applyFont="1" applyFill="1" applyBorder="1"/>
    <xf numFmtId="171" fontId="0" fillId="8" borderId="75" xfId="88" applyNumberFormat="1" applyFont="1" applyFill="1" applyBorder="1"/>
    <xf numFmtId="0" fontId="5" fillId="2" borderId="0" xfId="0" applyFont="1" applyFill="1" applyAlignment="1">
      <alignment horizontal="left"/>
    </xf>
    <xf numFmtId="49" fontId="5" fillId="41" borderId="0" xfId="0" applyNumberFormat="1" applyFont="1" applyFill="1" applyAlignment="1">
      <alignment horizontal="left"/>
    </xf>
    <xf numFmtId="0" fontId="5" fillId="0" borderId="0" xfId="0" applyFont="1"/>
    <xf numFmtId="165" fontId="5" fillId="0" borderId="0" xfId="0" applyNumberFormat="1" applyFont="1"/>
    <xf numFmtId="0" fontId="5" fillId="0" borderId="0" xfId="0" applyFont="1" applyAlignment="1">
      <alignment horizontal="right"/>
    </xf>
    <xf numFmtId="14" fontId="48" fillId="0" borderId="0" xfId="0" applyNumberFormat="1" applyFont="1" applyAlignment="1">
      <alignment horizontal="center"/>
    </xf>
    <xf numFmtId="164" fontId="3" fillId="41" borderId="2" xfId="0" applyNumberFormat="1" applyFont="1" applyFill="1" applyBorder="1" applyAlignment="1" applyProtection="1">
      <alignment horizontal="right"/>
      <protection locked="0"/>
    </xf>
    <xf numFmtId="164" fontId="3" fillId="41" borderId="5" xfId="0" applyNumberFormat="1" applyFont="1" applyFill="1" applyBorder="1" applyAlignment="1" applyProtection="1">
      <alignment horizontal="right"/>
      <protection locked="0"/>
    </xf>
    <xf numFmtId="164" fontId="3" fillId="0" borderId="0" xfId="0" applyNumberFormat="1" applyFont="1"/>
    <xf numFmtId="164" fontId="4" fillId="0" borderId="0" xfId="11" applyNumberFormat="1" applyAlignment="1" applyProtection="1"/>
    <xf numFmtId="0" fontId="14" fillId="0" borderId="0" xfId="0" applyFont="1" applyProtection="1">
      <protection locked="0"/>
    </xf>
    <xf numFmtId="165" fontId="3" fillId="0" borderId="0" xfId="0" applyNumberFormat="1" applyFont="1"/>
    <xf numFmtId="0" fontId="8" fillId="43" borderId="0" xfId="0" applyFont="1" applyFill="1" applyAlignment="1" applyProtection="1">
      <alignment horizontal="right"/>
      <protection locked="0"/>
    </xf>
    <xf numFmtId="166" fontId="3" fillId="0" borderId="0" xfId="0" applyNumberFormat="1" applyFont="1" applyAlignment="1" applyProtection="1">
      <alignment horizontal="right"/>
      <protection locked="0"/>
    </xf>
    <xf numFmtId="0" fontId="24" fillId="0" borderId="0" xfId="0" applyFont="1" applyAlignment="1" applyProtection="1">
      <alignment horizontal="center"/>
      <protection locked="0"/>
    </xf>
    <xf numFmtId="0" fontId="11" fillId="2" borderId="0" xfId="0" applyFont="1" applyFill="1" applyAlignment="1">
      <alignment wrapText="1"/>
    </xf>
    <xf numFmtId="0" fontId="11" fillId="2" borderId="0" xfId="0" applyFont="1" applyFill="1" applyAlignment="1">
      <alignment horizontal="left"/>
    </xf>
    <xf numFmtId="0" fontId="3" fillId="4" borderId="2" xfId="0" applyFont="1" applyFill="1" applyBorder="1" applyAlignment="1" applyProtection="1">
      <alignment horizontal="center" vertical="center"/>
      <protection locked="0"/>
    </xf>
    <xf numFmtId="0" fontId="3" fillId="4" borderId="3" xfId="0" applyFont="1" applyFill="1" applyBorder="1" applyAlignment="1" applyProtection="1">
      <alignment horizontal="center" vertical="center"/>
      <protection locked="0"/>
    </xf>
    <xf numFmtId="0" fontId="55" fillId="56" borderId="35" xfId="86" applyFont="1" applyFill="1" applyBorder="1" applyAlignment="1">
      <alignment horizontal="center" vertical="top" wrapText="1"/>
    </xf>
    <xf numFmtId="0" fontId="55" fillId="56" borderId="36" xfId="86" applyFont="1" applyFill="1" applyBorder="1" applyAlignment="1">
      <alignment horizontal="center" vertical="top" wrapText="1"/>
    </xf>
    <xf numFmtId="0" fontId="55" fillId="49" borderId="35" xfId="86" applyFont="1" applyFill="1" applyBorder="1" applyAlignment="1">
      <alignment horizontal="center" vertical="top" wrapText="1"/>
    </xf>
    <xf numFmtId="0" fontId="55" fillId="49" borderId="36" xfId="86" applyFont="1" applyFill="1" applyBorder="1" applyAlignment="1">
      <alignment horizontal="center" vertical="top" wrapText="1"/>
    </xf>
    <xf numFmtId="0" fontId="14" fillId="0" borderId="0" xfId="0" applyFont="1" applyAlignment="1" applyProtection="1">
      <protection locked="0"/>
    </xf>
    <xf numFmtId="166" fontId="3" fillId="0" borderId="0" xfId="0" applyNumberFormat="1" applyFont="1" applyAlignment="1" applyProtection="1">
      <alignment horizontal="right"/>
      <protection locked="0"/>
    </xf>
    <xf numFmtId="166" fontId="3" fillId="0" borderId="4" xfId="0" applyNumberFormat="1" applyFont="1" applyBorder="1" applyAlignment="1" applyProtection="1">
      <alignment horizontal="right"/>
      <protection locked="0"/>
    </xf>
    <xf numFmtId="166" fontId="3" fillId="0" borderId="0" xfId="0" applyNumberFormat="1" applyFont="1" applyAlignment="1" applyProtection="1">
      <alignment horizontal="left" indent="1"/>
      <protection locked="0"/>
    </xf>
    <xf numFmtId="166" fontId="3" fillId="0" borderId="4" xfId="0" applyNumberFormat="1" applyFont="1" applyBorder="1" applyAlignment="1" applyProtection="1">
      <alignment horizontal="left" indent="1"/>
      <protection locked="0"/>
    </xf>
    <xf numFmtId="0" fontId="62" fillId="6" borderId="0" xfId="11" applyFont="1" applyFill="1" applyAlignment="1" applyProtection="1">
      <alignment horizontal="left"/>
    </xf>
    <xf numFmtId="0" fontId="62" fillId="6" borderId="4" xfId="11" applyFont="1" applyFill="1" applyBorder="1" applyAlignment="1" applyProtection="1">
      <alignment horizontal="left"/>
    </xf>
    <xf numFmtId="0" fontId="16" fillId="0" borderId="0" xfId="11" applyFont="1" applyAlignment="1" applyProtection="1">
      <alignment horizontal="center" vertical="center" wrapText="1"/>
    </xf>
    <xf numFmtId="0" fontId="24" fillId="0" borderId="0" xfId="0" applyFont="1" applyAlignment="1" applyProtection="1">
      <alignment horizontal="center"/>
      <protection locked="0"/>
    </xf>
    <xf numFmtId="0" fontId="8" fillId="43" borderId="0" xfId="0" applyFont="1" applyFill="1" applyAlignment="1" applyProtection="1">
      <alignment horizontal="right"/>
      <protection locked="0"/>
    </xf>
    <xf numFmtId="0" fontId="0" fillId="0" borderId="0" xfId="0" applyAlignment="1">
      <alignment horizontal="right"/>
    </xf>
    <xf numFmtId="0" fontId="13" fillId="0" borderId="3" xfId="0" applyFont="1" applyBorder="1" applyAlignment="1">
      <alignment horizontal="center" vertical="top" wrapText="1"/>
    </xf>
    <xf numFmtId="0" fontId="13" fillId="0" borderId="34" xfId="0" applyFont="1" applyBorder="1" applyAlignment="1">
      <alignment horizontal="center" vertical="top" wrapText="1"/>
    </xf>
    <xf numFmtId="0" fontId="3" fillId="0" borderId="8" xfId="0" applyFont="1" applyBorder="1" applyAlignment="1">
      <alignment vertical="top" wrapText="1"/>
    </xf>
    <xf numFmtId="167" fontId="27" fillId="8" borderId="9" xfId="0" applyNumberFormat="1" applyFont="1" applyFill="1" applyBorder="1" applyAlignment="1" applyProtection="1">
      <alignment horizontal="left"/>
      <protection locked="0"/>
    </xf>
    <xf numFmtId="0" fontId="28" fillId="8" borderId="10" xfId="0" applyFont="1" applyFill="1" applyBorder="1" applyAlignment="1" applyProtection="1">
      <alignment horizontal="left"/>
      <protection locked="0"/>
    </xf>
    <xf numFmtId="0" fontId="10" fillId="44" borderId="5" xfId="0" applyFont="1" applyFill="1" applyBorder="1" applyAlignment="1" applyProtection="1">
      <alignment horizontal="center"/>
      <protection locked="0"/>
    </xf>
    <xf numFmtId="0" fontId="0" fillId="44" borderId="7" xfId="0" applyFill="1" applyBorder="1" applyAlignment="1" applyProtection="1">
      <alignment horizontal="center"/>
      <protection locked="0"/>
    </xf>
    <xf numFmtId="0" fontId="27" fillId="8" borderId="12" xfId="0" applyFont="1" applyFill="1" applyBorder="1" applyAlignment="1" applyProtection="1">
      <alignment horizontal="left"/>
      <protection locked="0"/>
    </xf>
    <xf numFmtId="0" fontId="0" fillId="8" borderId="14" xfId="0" applyFill="1" applyBorder="1" applyAlignment="1">
      <alignment horizontal="left"/>
    </xf>
    <xf numFmtId="0" fontId="43" fillId="0" borderId="68" xfId="0" applyFont="1" applyBorder="1" applyAlignment="1">
      <alignment horizontal="center"/>
    </xf>
    <xf numFmtId="0" fontId="43" fillId="0" borderId="69" xfId="0" applyFont="1" applyBorder="1" applyAlignment="1">
      <alignment horizontal="center"/>
    </xf>
    <xf numFmtId="0" fontId="43" fillId="0" borderId="70" xfId="0" applyFont="1" applyBorder="1" applyAlignment="1">
      <alignment horizontal="center"/>
    </xf>
    <xf numFmtId="0" fontId="13" fillId="5" borderId="0" xfId="0" applyFont="1" applyFill="1" applyAlignment="1">
      <alignment horizontal="center" vertical="center" textRotation="90" wrapText="1"/>
    </xf>
    <xf numFmtId="0" fontId="3" fillId="0" borderId="0" xfId="0" applyFont="1" applyAlignment="1">
      <alignment textRotation="90" wrapText="1"/>
    </xf>
    <xf numFmtId="0" fontId="3" fillId="4" borderId="2" xfId="0" applyFont="1" applyFill="1" applyBorder="1" applyAlignment="1" applyProtection="1">
      <alignment horizontal="center" vertical="center"/>
      <protection locked="0"/>
    </xf>
    <xf numFmtId="0" fontId="11" fillId="2" borderId="0" xfId="0" applyFont="1" applyFill="1" applyAlignment="1">
      <alignment horizontal="left" wrapText="1"/>
    </xf>
    <xf numFmtId="0" fontId="11" fillId="2" borderId="0" xfId="0" applyFont="1" applyFill="1" applyAlignment="1">
      <alignment horizontal="left"/>
    </xf>
    <xf numFmtId="0" fontId="13" fillId="5" borderId="5" xfId="0" applyFont="1" applyFill="1" applyBorder="1" applyAlignment="1">
      <alignment horizontal="center" vertical="center"/>
    </xf>
    <xf numFmtId="0" fontId="13" fillId="5" borderId="6" xfId="0" applyFont="1" applyFill="1" applyBorder="1" applyAlignment="1">
      <alignment horizontal="center" vertical="center"/>
    </xf>
    <xf numFmtId="0" fontId="13" fillId="5" borderId="7" xfId="0" applyFont="1" applyFill="1" applyBorder="1" applyAlignment="1">
      <alignment horizontal="center" vertical="center"/>
    </xf>
    <xf numFmtId="0" fontId="3" fillId="4" borderId="5" xfId="0" applyFont="1" applyFill="1" applyBorder="1" applyAlignment="1" applyProtection="1">
      <alignment horizontal="center" vertical="center"/>
      <protection locked="0"/>
    </xf>
    <xf numFmtId="0" fontId="3" fillId="4" borderId="7" xfId="0" applyFont="1" applyFill="1" applyBorder="1" applyAlignment="1" applyProtection="1">
      <alignment horizontal="center" vertical="center"/>
      <protection locked="0"/>
    </xf>
    <xf numFmtId="0" fontId="0" fillId="2" borderId="0" xfId="0" applyFill="1" applyAlignment="1">
      <alignment horizontal="left" wrapText="1"/>
    </xf>
    <xf numFmtId="0" fontId="3" fillId="2" borderId="0" xfId="0" applyFont="1" applyFill="1" applyAlignment="1">
      <alignment horizontal="left" wrapText="1"/>
    </xf>
    <xf numFmtId="0" fontId="3" fillId="2" borderId="0" xfId="0" applyFont="1" applyFill="1" applyAlignment="1">
      <alignment horizontal="center" wrapText="1"/>
    </xf>
    <xf numFmtId="0" fontId="3" fillId="4" borderId="3" xfId="0" applyFont="1" applyFill="1" applyBorder="1" applyAlignment="1" applyProtection="1">
      <alignment horizontal="center" vertical="center"/>
      <protection locked="0"/>
    </xf>
    <xf numFmtId="0" fontId="11" fillId="2" borderId="0" xfId="0" applyFont="1" applyFill="1" applyAlignment="1">
      <alignment wrapText="1"/>
    </xf>
    <xf numFmtId="0" fontId="55" fillId="56" borderId="35" xfId="86" applyFont="1" applyFill="1" applyBorder="1" applyAlignment="1">
      <alignment horizontal="center" vertical="top" wrapText="1"/>
    </xf>
    <xf numFmtId="0" fontId="55" fillId="56" borderId="36" xfId="86" applyFont="1" applyFill="1" applyBorder="1" applyAlignment="1">
      <alignment horizontal="center" vertical="top" wrapText="1"/>
    </xf>
    <xf numFmtId="0" fontId="55" fillId="56" borderId="39" xfId="86" applyFont="1" applyFill="1" applyBorder="1" applyAlignment="1">
      <alignment horizontal="center" vertical="top" wrapText="1"/>
    </xf>
    <xf numFmtId="0" fontId="61" fillId="0" borderId="63" xfId="11" applyFont="1" applyBorder="1" applyAlignment="1" applyProtection="1">
      <alignment horizontal="center"/>
    </xf>
    <xf numFmtId="0" fontId="61" fillId="0" borderId="64" xfId="11" applyFont="1" applyBorder="1" applyAlignment="1" applyProtection="1">
      <alignment horizontal="center"/>
    </xf>
    <xf numFmtId="0" fontId="61" fillId="0" borderId="65" xfId="11" applyFont="1" applyBorder="1" applyAlignment="1" applyProtection="1">
      <alignment horizontal="center"/>
    </xf>
    <xf numFmtId="0" fontId="61" fillId="0" borderId="33" xfId="11" applyFont="1" applyBorder="1" applyAlignment="1" applyProtection="1">
      <alignment horizontal="center"/>
    </xf>
    <xf numFmtId="0" fontId="61" fillId="0" borderId="32" xfId="11" applyFont="1" applyBorder="1" applyAlignment="1" applyProtection="1">
      <alignment horizontal="center"/>
    </xf>
    <xf numFmtId="0" fontId="61" fillId="0" borderId="66" xfId="11" applyFont="1" applyBorder="1" applyAlignment="1" applyProtection="1">
      <alignment horizontal="center"/>
    </xf>
    <xf numFmtId="0" fontId="61" fillId="0" borderId="31" xfId="11" applyFont="1" applyBorder="1" applyAlignment="1" applyProtection="1">
      <alignment horizontal="center"/>
    </xf>
    <xf numFmtId="0" fontId="61" fillId="0" borderId="30" xfId="11" applyFont="1" applyBorder="1" applyAlignment="1" applyProtection="1">
      <alignment horizontal="center"/>
    </xf>
    <xf numFmtId="0" fontId="61" fillId="0" borderId="67" xfId="11" applyFont="1" applyBorder="1" applyAlignment="1" applyProtection="1">
      <alignment horizontal="center"/>
    </xf>
    <xf numFmtId="0" fontId="55" fillId="49" borderId="35" xfId="86" applyFont="1" applyFill="1" applyBorder="1" applyAlignment="1">
      <alignment horizontal="center" vertical="top" wrapText="1"/>
    </xf>
    <xf numFmtId="0" fontId="55" fillId="49" borderId="36" xfId="86" applyFont="1" applyFill="1" applyBorder="1" applyAlignment="1">
      <alignment horizontal="center" vertical="top" wrapText="1"/>
    </xf>
    <xf numFmtId="0" fontId="55" fillId="49" borderId="39" xfId="86" applyFont="1" applyFill="1" applyBorder="1" applyAlignment="1">
      <alignment horizontal="center" vertical="top" wrapText="1"/>
    </xf>
  </cellXfs>
  <cellStyles count="89">
    <cellStyle name="20% - Accent1" xfId="33" builtinId="30" customBuiltin="1"/>
    <cellStyle name="20% - Accent1 2" xfId="70" xr:uid="{00000000-0005-0000-0000-000001000000}"/>
    <cellStyle name="20% - Accent2" xfId="37" builtinId="34" customBuiltin="1"/>
    <cellStyle name="20% - Accent2 2" xfId="72" xr:uid="{00000000-0005-0000-0000-000003000000}"/>
    <cellStyle name="20% - Accent3" xfId="41" builtinId="38" customBuiltin="1"/>
    <cellStyle name="20% - Accent3 2" xfId="74" xr:uid="{00000000-0005-0000-0000-000005000000}"/>
    <cellStyle name="20% - Accent4" xfId="45" builtinId="42" customBuiltin="1"/>
    <cellStyle name="20% - Accent4 2" xfId="76" xr:uid="{00000000-0005-0000-0000-000007000000}"/>
    <cellStyle name="20% - Accent5" xfId="49" builtinId="46" customBuiltin="1"/>
    <cellStyle name="20% - Accent5 2" xfId="78" xr:uid="{00000000-0005-0000-0000-000009000000}"/>
    <cellStyle name="20% - Accent6" xfId="53" builtinId="50" customBuiltin="1"/>
    <cellStyle name="20% - Accent6 2" xfId="80" xr:uid="{00000000-0005-0000-0000-00000B000000}"/>
    <cellStyle name="40% - Accent1" xfId="34" builtinId="31" customBuiltin="1"/>
    <cellStyle name="40% - Accent1 2" xfId="71" xr:uid="{00000000-0005-0000-0000-00000D000000}"/>
    <cellStyle name="40% - Accent2" xfId="38" builtinId="35" customBuiltin="1"/>
    <cellStyle name="40% - Accent2 2" xfId="73" xr:uid="{00000000-0005-0000-0000-00000F000000}"/>
    <cellStyle name="40% - Accent3" xfId="42" builtinId="39" customBuiltin="1"/>
    <cellStyle name="40% - Accent3 2" xfId="75" xr:uid="{00000000-0005-0000-0000-000011000000}"/>
    <cellStyle name="40% - Accent4" xfId="46" builtinId="43" customBuiltin="1"/>
    <cellStyle name="40% - Accent4 2" xfId="77" xr:uid="{00000000-0005-0000-0000-000013000000}"/>
    <cellStyle name="40% - Accent5" xfId="50" builtinId="47" customBuiltin="1"/>
    <cellStyle name="40% - Accent5 2" xfId="79" xr:uid="{00000000-0005-0000-0000-000015000000}"/>
    <cellStyle name="40% - Accent6" xfId="54" builtinId="51" customBuiltin="1"/>
    <cellStyle name="40% - Accent6 2" xfId="81" xr:uid="{00000000-0005-0000-0000-000017000000}"/>
    <cellStyle name="60% - Accent1" xfId="35" builtinId="32" customBuiltin="1"/>
    <cellStyle name="60% - Accent2" xfId="39" builtinId="36" customBuiltin="1"/>
    <cellStyle name="60% - Accent3" xfId="43" builtinId="40" customBuiltin="1"/>
    <cellStyle name="60% - Accent4" xfId="47" builtinId="44" customBuiltin="1"/>
    <cellStyle name="60% - Accent5" xfId="51" builtinId="48" customBuiltin="1"/>
    <cellStyle name="60% - Accent6" xfId="55" builtinId="52" customBuiltin="1"/>
    <cellStyle name="Accent1" xfId="32" builtinId="29" customBuiltin="1"/>
    <cellStyle name="Accent2" xfId="36" builtinId="33" customBuiltin="1"/>
    <cellStyle name="Accent3" xfId="40" builtinId="37" customBuiltin="1"/>
    <cellStyle name="Accent4" xfId="44" builtinId="41" customBuiltin="1"/>
    <cellStyle name="Accent5" xfId="48" builtinId="45" customBuiltin="1"/>
    <cellStyle name="Accent6" xfId="52" builtinId="49" customBuiltin="1"/>
    <cellStyle name="Bad" xfId="23" builtinId="27" customBuiltin="1"/>
    <cellStyle name="Calculation" xfId="27" builtinId="22" customBuiltin="1"/>
    <cellStyle name="Check Cell" xfId="29" builtinId="23" customBuiltin="1"/>
    <cellStyle name="Comma 2" xfId="1" xr:uid="{00000000-0005-0000-0000-000027000000}"/>
    <cellStyle name="Comma 2 2" xfId="2" xr:uid="{00000000-0005-0000-0000-000028000000}"/>
    <cellStyle name="Comma 2 3" xfId="61" xr:uid="{00000000-0005-0000-0000-000029000000}"/>
    <cellStyle name="Comma 3" xfId="57" xr:uid="{00000000-0005-0000-0000-00002A000000}"/>
    <cellStyle name="Comma0" xfId="3" xr:uid="{00000000-0005-0000-0000-00002B000000}"/>
    <cellStyle name="Currency" xfId="88" builtinId="4"/>
    <cellStyle name="Currency 2" xfId="4" xr:uid="{00000000-0005-0000-0000-00002D000000}"/>
    <cellStyle name="Currency 2 2" xfId="5" xr:uid="{00000000-0005-0000-0000-00002E000000}"/>
    <cellStyle name="Currency 2 3" xfId="62" xr:uid="{00000000-0005-0000-0000-00002F000000}"/>
    <cellStyle name="Currency 3" xfId="58" xr:uid="{00000000-0005-0000-0000-000030000000}"/>
    <cellStyle name="Currency0" xfId="6" xr:uid="{00000000-0005-0000-0000-000031000000}"/>
    <cellStyle name="Date" xfId="7" xr:uid="{00000000-0005-0000-0000-000032000000}"/>
    <cellStyle name="Explanatory Text" xfId="31" builtinId="53" customBuiltin="1"/>
    <cellStyle name="Fixed" xfId="8" xr:uid="{00000000-0005-0000-0000-000034000000}"/>
    <cellStyle name="Good" xfId="22" builtinId="26" customBuiltin="1"/>
    <cellStyle name="Heading 1 2" xfId="9" xr:uid="{00000000-0005-0000-0000-000036000000}"/>
    <cellStyle name="Heading 1 2 2" xfId="65" xr:uid="{00000000-0005-0000-0000-000037000000}"/>
    <cellStyle name="Heading 2" xfId="86" builtinId="17"/>
    <cellStyle name="Heading 2 2" xfId="10" xr:uid="{00000000-0005-0000-0000-000039000000}"/>
    <cellStyle name="Heading 2 2 2" xfId="66" xr:uid="{00000000-0005-0000-0000-00003A000000}"/>
    <cellStyle name="Heading 3" xfId="20" builtinId="18" customBuiltin="1"/>
    <cellStyle name="Heading 4" xfId="21" builtinId="19" customBuiltin="1"/>
    <cellStyle name="Hyperlink" xfId="11" builtinId="8"/>
    <cellStyle name="Hyperlink 2" xfId="12" xr:uid="{00000000-0005-0000-0000-00003E000000}"/>
    <cellStyle name="Input" xfId="25" builtinId="20" customBuiltin="1"/>
    <cellStyle name="Linked Cell" xfId="28" builtinId="24" customBuiltin="1"/>
    <cellStyle name="Neutral" xfId="24" builtinId="28" customBuiltin="1"/>
    <cellStyle name="Normal" xfId="0" builtinId="0"/>
    <cellStyle name="Normal 2" xfId="13" xr:uid="{00000000-0005-0000-0000-000043000000}"/>
    <cellStyle name="Normal 2 2" xfId="59" xr:uid="{00000000-0005-0000-0000-000044000000}"/>
    <cellStyle name="Normal 3" xfId="64" xr:uid="{00000000-0005-0000-0000-000045000000}"/>
    <cellStyle name="Normal 3 2" xfId="82" xr:uid="{00000000-0005-0000-0000-000046000000}"/>
    <cellStyle name="Normal 4" xfId="56" xr:uid="{00000000-0005-0000-0000-000047000000}"/>
    <cellStyle name="Note 2" xfId="67" xr:uid="{00000000-0005-0000-0000-000048000000}"/>
    <cellStyle name="Note 2 2" xfId="83" xr:uid="{00000000-0005-0000-0000-000049000000}"/>
    <cellStyle name="Output" xfId="26" builtinId="21" customBuiltin="1"/>
    <cellStyle name="Percent" xfId="14" builtinId="5"/>
    <cellStyle name="Percent 2" xfId="15" xr:uid="{00000000-0005-0000-0000-00004C000000}"/>
    <cellStyle name="Percent 2 2" xfId="16" xr:uid="{00000000-0005-0000-0000-00004D000000}"/>
    <cellStyle name="Percent 2 2 2" xfId="60" xr:uid="{00000000-0005-0000-0000-00004E000000}"/>
    <cellStyle name="Percent 2 3" xfId="63" xr:uid="{00000000-0005-0000-0000-00004F000000}"/>
    <cellStyle name="Percent 3" xfId="17" xr:uid="{00000000-0005-0000-0000-000050000000}"/>
    <cellStyle name="Percent 3 2" xfId="68" xr:uid="{00000000-0005-0000-0000-000051000000}"/>
    <cellStyle name="Percent 3 3" xfId="84" xr:uid="{00000000-0005-0000-0000-000052000000}"/>
    <cellStyle name="Percent 4" xfId="85" xr:uid="{00000000-0005-0000-0000-000053000000}"/>
    <cellStyle name="Title" xfId="19" builtinId="15" customBuiltin="1"/>
    <cellStyle name="Total" xfId="87" builtinId="25"/>
    <cellStyle name="Total 2" xfId="18" xr:uid="{00000000-0005-0000-0000-000056000000}"/>
    <cellStyle name="Total 2 2" xfId="69" xr:uid="{00000000-0005-0000-0000-000057000000}"/>
    <cellStyle name="Warning Text" xfId="30" builtinId="11" customBuiltin="1"/>
  </cellStyles>
  <dxfs count="0"/>
  <tableStyles count="0" defaultTableStyle="TableStyleMedium9" defaultPivotStyle="PivotStyleLight16"/>
  <colors>
    <mruColors>
      <color rgb="FFFFFF99"/>
      <color rgb="FFC0C0C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06-NIH_complete_budget-090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ww.ospa.iastate.edu/Documents%20and%20Settings/bmneese/Local%20Settings/Temporary%20Internet%20Files/Content.Outlook/QHP08TJ8/BOB-2011-06-2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ce Page"/>
      <sheetName val="Base Budget"/>
      <sheetName val="Mod Budget Form"/>
      <sheetName val="Form Page 4"/>
      <sheetName val="Form Page 5"/>
      <sheetName val="Checklist"/>
    </sheetNames>
    <sheetDataSet>
      <sheetData sheetId="0" refreshError="1"/>
      <sheetData sheetId="1"/>
      <sheetData sheetId="2" refreshError="1"/>
      <sheetData sheetId="3"/>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here"/>
      <sheetName val="Salaries &amp; Wages"/>
      <sheetName val="Equip-Travel-Participants"/>
      <sheetName val="Other Direct"/>
      <sheetName val="Subcontracts"/>
      <sheetName val="Cumulative Budget"/>
      <sheetName val="Links"/>
      <sheetName val="Sheet1"/>
      <sheetName val="Salaries &amp;#38;#38;#38; Wages"/>
      <sheetName val="form page 4"/>
      <sheetName val="Budget for Modular Grant"/>
      <sheetName val="Travel"/>
      <sheetName val="Summary"/>
    </sheetNames>
    <sheetDataSet>
      <sheetData sheetId="0"/>
      <sheetData sheetId="1"/>
      <sheetData sheetId="2"/>
      <sheetData sheetId="3"/>
      <sheetData sheetId="4"/>
      <sheetData sheetId="5"/>
      <sheetData sheetId="6" refreshError="1"/>
      <sheetData sheetId="7" refreshError="1"/>
      <sheetData sheetId="8"/>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grad-college.iastate.edu/handbook/chapter.php?id=3" TargetMode="External"/><Relationship Id="rId1" Type="http://schemas.openxmlformats.org/officeDocument/2006/relationships/hyperlink" Target="http://www.controller.iastate.edu/spa/PSC.pdf"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controller.iastate.edu/travelinformation/homepage.htm" TargetMode="External"/><Relationship Id="rId1" Type="http://schemas.openxmlformats.org/officeDocument/2006/relationships/hyperlink" Target="https://aoprals.state.gov/web920/per_diem.as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34"/>
    <pageSetUpPr fitToPage="1"/>
  </sheetPr>
  <dimension ref="A1:W147"/>
  <sheetViews>
    <sheetView tabSelected="1" zoomScale="70" zoomScaleNormal="70" workbookViewId="0">
      <pane ySplit="12" topLeftCell="A13" activePane="bottomLeft" state="frozen"/>
      <selection pane="bottomLeft" activeCell="M102" sqref="M102"/>
    </sheetView>
  </sheetViews>
  <sheetFormatPr defaultColWidth="8.85546875" defaultRowHeight="12.6" outlineLevelRow="1" outlineLevelCol="1"/>
  <cols>
    <col min="1" max="1" width="6.85546875" style="58" customWidth="1"/>
    <col min="2" max="2" width="5.140625" style="58" customWidth="1"/>
    <col min="3" max="3" width="28.42578125" style="58" customWidth="1"/>
    <col min="4" max="4" width="11.140625" style="58" customWidth="1"/>
    <col min="5" max="5" width="12.5703125" style="58" customWidth="1"/>
    <col min="6" max="6" width="13" style="58" customWidth="1"/>
    <col min="7" max="7" width="14.42578125" style="58" customWidth="1"/>
    <col min="8" max="9" width="14.85546875" style="58" customWidth="1"/>
    <col min="10" max="13" width="15" style="58" customWidth="1"/>
    <col min="14" max="15" width="15" style="58" hidden="1" customWidth="1" outlineLevel="1"/>
    <col min="16" max="17" width="14.85546875" style="58" hidden="1" customWidth="1" outlineLevel="1"/>
    <col min="18" max="18" width="15.42578125" style="58" customWidth="1" collapsed="1"/>
    <col min="19" max="20" width="15.42578125" style="58" customWidth="1"/>
    <col min="21" max="21" width="11.42578125" style="386" bestFit="1" customWidth="1"/>
    <col min="22" max="22" width="10.140625" style="252" bestFit="1" customWidth="1"/>
    <col min="23" max="23" width="8.85546875" style="252"/>
  </cols>
  <sheetData>
    <row r="1" spans="1:22" ht="18">
      <c r="A1" s="167" t="s">
        <v>0</v>
      </c>
      <c r="B1" s="168"/>
      <c r="C1" s="168"/>
      <c r="D1" s="168"/>
      <c r="E1" s="168"/>
      <c r="F1" s="168"/>
      <c r="G1" s="168"/>
      <c r="H1" s="169"/>
      <c r="I1" s="169"/>
      <c r="J1" s="169"/>
      <c r="K1" s="169"/>
      <c r="L1" s="169"/>
      <c r="M1" s="169"/>
      <c r="N1" s="169"/>
      <c r="O1" s="169"/>
      <c r="P1" s="170"/>
      <c r="Q1" s="170"/>
      <c r="R1" s="170"/>
      <c r="S1" s="421" t="s">
        <v>1</v>
      </c>
      <c r="T1" s="422"/>
    </row>
    <row r="2" spans="1:22" ht="18">
      <c r="A2" s="168"/>
      <c r="B2" s="168"/>
      <c r="C2" s="168"/>
      <c r="D2" s="168"/>
      <c r="E2" s="168"/>
      <c r="F2" s="168"/>
      <c r="G2" s="168"/>
      <c r="H2" s="168"/>
      <c r="I2" s="180" t="s">
        <v>2</v>
      </c>
      <c r="J2" s="168"/>
      <c r="K2" s="168"/>
      <c r="L2" s="168"/>
      <c r="M2" s="168"/>
      <c r="N2" s="168"/>
      <c r="O2" s="168"/>
      <c r="P2" s="170"/>
      <c r="Q2" s="170"/>
      <c r="R2" s="170"/>
      <c r="S2" s="425" t="s">
        <v>3</v>
      </c>
      <c r="T2" s="426"/>
      <c r="U2" s="77"/>
    </row>
    <row r="3" spans="1:22" ht="15.6">
      <c r="A3" s="171" t="s">
        <v>4</v>
      </c>
      <c r="B3" s="171"/>
      <c r="C3" s="171"/>
      <c r="D3" s="171"/>
      <c r="E3" s="416" t="s">
        <v>5</v>
      </c>
      <c r="F3" s="417"/>
      <c r="G3" s="176">
        <v>46204</v>
      </c>
      <c r="H3" s="170"/>
      <c r="I3" s="181" t="s">
        <v>6</v>
      </c>
      <c r="J3" s="171"/>
      <c r="K3" s="170"/>
      <c r="L3" s="170"/>
      <c r="M3" s="170"/>
      <c r="N3" s="170"/>
      <c r="O3" s="170"/>
      <c r="P3" s="170"/>
      <c r="Q3" s="170"/>
      <c r="R3" s="170"/>
      <c r="S3" s="170"/>
      <c r="T3" s="170"/>
    </row>
    <row r="4" spans="1:22" ht="15.75" customHeight="1">
      <c r="A4" s="171" t="s">
        <v>7</v>
      </c>
      <c r="B4" s="171"/>
      <c r="C4" s="171"/>
      <c r="D4" s="171"/>
      <c r="E4" s="177"/>
      <c r="F4" s="396" t="s">
        <v>8</v>
      </c>
      <c r="G4" s="208">
        <v>0.42849999999999999</v>
      </c>
      <c r="H4" s="228">
        <f>TRUNC(G4, 4)</f>
        <v>0.42849999999999999</v>
      </c>
      <c r="I4" s="181" t="s">
        <v>9</v>
      </c>
      <c r="J4" s="181"/>
      <c r="K4" s="182"/>
      <c r="L4" s="182"/>
      <c r="M4" s="182"/>
      <c r="N4" s="182"/>
      <c r="O4" s="182"/>
      <c r="P4" s="182"/>
      <c r="Q4" s="182"/>
      <c r="R4" s="182"/>
      <c r="S4" s="170"/>
      <c r="T4" s="170"/>
      <c r="U4" s="386" t="s">
        <v>10</v>
      </c>
      <c r="V4" s="252" t="s">
        <v>11</v>
      </c>
    </row>
    <row r="5" spans="1:22" ht="15.6">
      <c r="A5" s="171" t="s">
        <v>12</v>
      </c>
      <c r="B5" s="171"/>
      <c r="C5" s="171"/>
      <c r="D5" s="171"/>
      <c r="E5" s="177"/>
      <c r="F5" s="396" t="s">
        <v>13</v>
      </c>
      <c r="G5" s="178" t="s">
        <v>14</v>
      </c>
      <c r="H5" s="179"/>
      <c r="I5" s="181" t="s">
        <v>15</v>
      </c>
      <c r="J5" s="181"/>
      <c r="K5" s="182"/>
      <c r="L5" s="182"/>
      <c r="M5" s="182"/>
      <c r="N5" s="182"/>
      <c r="O5" s="182"/>
      <c r="P5" s="182"/>
      <c r="Q5" s="182"/>
      <c r="R5" s="182"/>
      <c r="S5" s="170"/>
      <c r="T5" s="170"/>
      <c r="U5" s="386" t="s">
        <v>16</v>
      </c>
      <c r="V5" s="252" t="s">
        <v>17</v>
      </c>
    </row>
    <row r="6" spans="1:22" ht="15.6">
      <c r="A6" s="171" t="s">
        <v>18</v>
      </c>
      <c r="B6" s="171"/>
      <c r="C6" s="171"/>
      <c r="D6" s="171"/>
      <c r="E6" s="171"/>
      <c r="F6" s="396" t="s">
        <v>19</v>
      </c>
      <c r="G6" s="253" t="s">
        <v>17</v>
      </c>
      <c r="H6" s="170"/>
      <c r="I6" s="181" t="s">
        <v>20</v>
      </c>
      <c r="J6" s="181"/>
      <c r="K6" s="182"/>
      <c r="L6" s="182"/>
      <c r="M6" s="182"/>
      <c r="N6" s="182"/>
      <c r="O6" s="182"/>
      <c r="P6" s="182"/>
      <c r="Q6" s="182"/>
      <c r="R6" s="182"/>
      <c r="S6" s="170"/>
      <c r="T6" s="170"/>
      <c r="U6" s="386" t="s">
        <v>14</v>
      </c>
    </row>
    <row r="7" spans="1:22" ht="15.6">
      <c r="A7" s="171" t="s">
        <v>21</v>
      </c>
      <c r="B7" s="171"/>
      <c r="C7" s="171"/>
      <c r="D7" s="172"/>
      <c r="E7" s="172"/>
      <c r="F7" s="172"/>
      <c r="G7" s="172"/>
      <c r="H7" s="170"/>
      <c r="I7" s="181" t="s">
        <v>22</v>
      </c>
      <c r="J7" s="183"/>
      <c r="K7" s="182"/>
      <c r="L7" s="182"/>
      <c r="M7" s="182"/>
      <c r="N7" s="182"/>
      <c r="O7" s="182"/>
      <c r="P7" s="182"/>
      <c r="Q7" s="182"/>
      <c r="R7" s="182"/>
      <c r="S7" s="173"/>
      <c r="T7" s="173"/>
      <c r="U7" s="386" t="s">
        <v>23</v>
      </c>
    </row>
    <row r="8" spans="1:22" ht="8.1" customHeight="1">
      <c r="A8" s="19"/>
      <c r="B8" s="19"/>
      <c r="C8" s="19"/>
      <c r="D8" s="19"/>
      <c r="E8" s="19"/>
      <c r="F8" s="19"/>
      <c r="G8" s="19"/>
      <c r="H8" s="19"/>
      <c r="I8" s="19"/>
      <c r="J8" s="19"/>
      <c r="K8" s="19"/>
      <c r="L8" s="19"/>
      <c r="M8" s="19"/>
      <c r="N8" s="19"/>
      <c r="O8" s="19"/>
      <c r="P8" s="19"/>
      <c r="Q8" s="19"/>
      <c r="R8" s="19"/>
      <c r="S8" s="19"/>
      <c r="T8" s="19"/>
    </row>
    <row r="9" spans="1:22" ht="15.75" customHeight="1">
      <c r="A9" s="19"/>
      <c r="B9" s="19"/>
      <c r="C9" s="19"/>
      <c r="D9" s="19"/>
      <c r="E9" s="19"/>
      <c r="F9" s="20"/>
      <c r="G9" s="21"/>
      <c r="H9" s="423" t="s">
        <v>24</v>
      </c>
      <c r="I9" s="424"/>
      <c r="J9" s="423" t="s">
        <v>25</v>
      </c>
      <c r="K9" s="424"/>
      <c r="L9" s="423" t="s">
        <v>26</v>
      </c>
      <c r="M9" s="424"/>
      <c r="N9" s="423" t="s">
        <v>27</v>
      </c>
      <c r="O9" s="424"/>
      <c r="P9" s="423" t="s">
        <v>28</v>
      </c>
      <c r="Q9" s="424"/>
      <c r="R9" s="418" t="s">
        <v>29</v>
      </c>
      <c r="S9" s="418" t="s">
        <v>30</v>
      </c>
      <c r="T9" s="418" t="s">
        <v>31</v>
      </c>
    </row>
    <row r="10" spans="1:22" ht="15.75" customHeight="1">
      <c r="A10" s="19"/>
      <c r="B10" s="19"/>
      <c r="C10" s="19"/>
      <c r="D10" s="19"/>
      <c r="E10" s="19"/>
      <c r="F10" s="20"/>
      <c r="G10" s="21"/>
      <c r="H10" s="174" t="s">
        <v>32</v>
      </c>
      <c r="I10" s="175" t="s">
        <v>33</v>
      </c>
      <c r="J10" s="174" t="s">
        <v>32</v>
      </c>
      <c r="K10" s="174" t="s">
        <v>33</v>
      </c>
      <c r="L10" s="174" t="s">
        <v>32</v>
      </c>
      <c r="M10" s="174" t="s">
        <v>33</v>
      </c>
      <c r="N10" s="174" t="s">
        <v>34</v>
      </c>
      <c r="O10" s="174" t="s">
        <v>33</v>
      </c>
      <c r="P10" s="174" t="s">
        <v>32</v>
      </c>
      <c r="Q10" s="174" t="s">
        <v>33</v>
      </c>
      <c r="R10" s="419"/>
      <c r="S10" s="419"/>
      <c r="T10" s="419"/>
    </row>
    <row r="11" spans="1:22" ht="15.75" customHeight="1">
      <c r="A11" s="19"/>
      <c r="B11" s="19"/>
      <c r="C11" s="19"/>
      <c r="D11" s="19"/>
      <c r="E11" s="19"/>
      <c r="F11" s="20"/>
      <c r="G11" s="21"/>
      <c r="H11" s="163">
        <f>DATE(YEAR(G3),MONTH(G3),DAY(G3))</f>
        <v>46204</v>
      </c>
      <c r="I11" s="163">
        <f>J11-1</f>
        <v>46568</v>
      </c>
      <c r="J11" s="163">
        <f>DATE(YEAR(G3)+1,MONTH(G3),DAY(G3))</f>
        <v>46569</v>
      </c>
      <c r="K11" s="163">
        <f>L11-1</f>
        <v>46934</v>
      </c>
      <c r="L11" s="163">
        <f>DATE(YEAR(G3)+2,MONTH(G3),DAY(G3))</f>
        <v>46935</v>
      </c>
      <c r="M11" s="163">
        <f>N11-1</f>
        <v>47299</v>
      </c>
      <c r="N11" s="389">
        <f>DATE(YEAR(G3)+3,MONTH(G3),DAY(G3))</f>
        <v>47300</v>
      </c>
      <c r="O11" s="163">
        <f>P11-1</f>
        <v>47664</v>
      </c>
      <c r="P11" s="163">
        <f>DATE(YEAR(G3)+4,MONTH(G3),DAY(G3))</f>
        <v>47665</v>
      </c>
      <c r="Q11" s="163">
        <f>P11+364</f>
        <v>48029</v>
      </c>
      <c r="R11" s="419"/>
      <c r="S11" s="419"/>
      <c r="T11" s="419"/>
    </row>
    <row r="12" spans="1:22" ht="24">
      <c r="A12" s="19"/>
      <c r="B12" s="19"/>
      <c r="C12" s="19"/>
      <c r="D12" s="19"/>
      <c r="E12" s="19"/>
      <c r="F12" s="22"/>
      <c r="G12" s="22"/>
      <c r="H12" s="76" t="s">
        <v>35</v>
      </c>
      <c r="I12" s="23" t="s">
        <v>36</v>
      </c>
      <c r="J12" s="76" t="s">
        <v>35</v>
      </c>
      <c r="K12" s="23" t="s">
        <v>36</v>
      </c>
      <c r="L12" s="76" t="s">
        <v>35</v>
      </c>
      <c r="M12" s="23" t="s">
        <v>36</v>
      </c>
      <c r="N12" s="76" t="s">
        <v>35</v>
      </c>
      <c r="O12" s="23" t="s">
        <v>36</v>
      </c>
      <c r="P12" s="76" t="s">
        <v>35</v>
      </c>
      <c r="Q12" s="23" t="s">
        <v>36</v>
      </c>
      <c r="R12" s="420"/>
      <c r="S12" s="420"/>
      <c r="T12" s="420"/>
    </row>
    <row r="13" spans="1:22" ht="15.6">
      <c r="A13" s="19"/>
      <c r="B13" s="19"/>
      <c r="C13" s="19"/>
      <c r="D13" s="24" t="s">
        <v>37</v>
      </c>
      <c r="E13" s="25" t="s">
        <v>38</v>
      </c>
      <c r="F13" s="25" t="s">
        <v>39</v>
      </c>
      <c r="G13" s="24" t="s">
        <v>40</v>
      </c>
      <c r="H13" s="162"/>
      <c r="I13" s="203"/>
      <c r="J13" s="204"/>
      <c r="K13" s="204"/>
      <c r="L13" s="204"/>
      <c r="M13" s="204"/>
      <c r="N13" s="204"/>
      <c r="O13" s="204"/>
      <c r="P13" s="204"/>
      <c r="Q13" s="204"/>
      <c r="R13" s="7"/>
      <c r="S13" s="207"/>
      <c r="T13" s="7"/>
    </row>
    <row r="14" spans="1:22" ht="15.6">
      <c r="A14" s="40" t="s">
        <v>41</v>
      </c>
      <c r="B14" s="21"/>
      <c r="C14" s="39" t="s">
        <v>42</v>
      </c>
      <c r="D14" s="24" t="s">
        <v>43</v>
      </c>
      <c r="E14" s="24" t="s">
        <v>44</v>
      </c>
      <c r="F14" s="24" t="s">
        <v>44</v>
      </c>
      <c r="G14" s="24" t="s">
        <v>44</v>
      </c>
      <c r="H14" s="26">
        <f t="shared" ref="H14:Q14" si="0">SUM(H15:H23)</f>
        <v>17155.164166666669</v>
      </c>
      <c r="I14" s="27">
        <f t="shared" si="0"/>
        <v>0</v>
      </c>
      <c r="J14" s="26">
        <f t="shared" si="0"/>
        <v>17670</v>
      </c>
      <c r="K14" s="27">
        <f t="shared" si="0"/>
        <v>0</v>
      </c>
      <c r="L14" s="26">
        <f t="shared" si="0"/>
        <v>18200</v>
      </c>
      <c r="M14" s="27">
        <f t="shared" si="0"/>
        <v>0</v>
      </c>
      <c r="N14" s="26">
        <f t="shared" si="0"/>
        <v>0</v>
      </c>
      <c r="O14" s="28">
        <f t="shared" si="0"/>
        <v>0</v>
      </c>
      <c r="P14" s="29">
        <f t="shared" si="0"/>
        <v>0</v>
      </c>
      <c r="Q14" s="28">
        <f t="shared" si="0"/>
        <v>0</v>
      </c>
      <c r="R14" s="8">
        <f>SUM(H14+J14+L14+N14+P14)</f>
        <v>53025.164166666669</v>
      </c>
      <c r="S14" s="9">
        <f>SUM(I14+K14+M14+O14+Q14)</f>
        <v>0</v>
      </c>
      <c r="T14" s="8">
        <f>SUM(R14+S14)</f>
        <v>53025.164166666669</v>
      </c>
    </row>
    <row r="15" spans="1:22">
      <c r="A15" s="31"/>
      <c r="B15" s="19">
        <v>1</v>
      </c>
      <c r="C15" s="77" t="s">
        <v>45</v>
      </c>
      <c r="D15" s="57">
        <v>12010.914166666667</v>
      </c>
      <c r="E15" s="72">
        <v>1</v>
      </c>
      <c r="F15" s="72">
        <v>0</v>
      </c>
      <c r="G15" s="72">
        <v>0</v>
      </c>
      <c r="H15" s="73">
        <f t="shared" ref="H15:H23" si="1">D15*(E15+F15+G15)</f>
        <v>12010.914166666667</v>
      </c>
      <c r="I15" s="17">
        <v>0</v>
      </c>
      <c r="J15" s="73">
        <f>ROUND(H15*1.03,0)</f>
        <v>12371</v>
      </c>
      <c r="K15" s="17">
        <v>0</v>
      </c>
      <c r="L15" s="73">
        <f>ROUND(J15*1.03,0)</f>
        <v>12742</v>
      </c>
      <c r="M15" s="17">
        <v>0</v>
      </c>
      <c r="N15" s="73">
        <v>0</v>
      </c>
      <c r="O15" s="17">
        <v>0</v>
      </c>
      <c r="P15" s="74">
        <f>ROUND(N15*1.03,0)</f>
        <v>0</v>
      </c>
      <c r="Q15" s="17">
        <v>0</v>
      </c>
      <c r="R15" s="75">
        <f>SUM(H15+J15+L15+N15+P15)</f>
        <v>37123.914166666669</v>
      </c>
      <c r="S15" s="10">
        <f t="shared" ref="S15:S23" si="2">SUM(I15+K15+M15+O15+Q15)</f>
        <v>0</v>
      </c>
      <c r="T15" s="75">
        <f>SUM(R15+S15)</f>
        <v>37123.914166666669</v>
      </c>
      <c r="U15" s="387"/>
      <c r="V15" s="392">
        <f>SUM(T15,T42)</f>
        <v>52158.914166666669</v>
      </c>
    </row>
    <row r="16" spans="1:22">
      <c r="A16" s="31"/>
      <c r="B16" s="19">
        <v>2</v>
      </c>
      <c r="C16" s="77" t="s">
        <v>46</v>
      </c>
      <c r="D16" s="57">
        <v>13718</v>
      </c>
      <c r="E16" s="72">
        <v>0.375</v>
      </c>
      <c r="F16" s="72">
        <v>0</v>
      </c>
      <c r="G16" s="72">
        <v>0</v>
      </c>
      <c r="H16" s="73">
        <f t="shared" si="1"/>
        <v>5144.25</v>
      </c>
      <c r="I16" s="17">
        <v>0</v>
      </c>
      <c r="J16" s="73">
        <f t="shared" ref="J16:J23" si="3">ROUND(H16*1.03,0)</f>
        <v>5299</v>
      </c>
      <c r="K16" s="17">
        <v>0</v>
      </c>
      <c r="L16" s="73">
        <f t="shared" ref="L16:L23" si="4">ROUND(J16*1.03,0)</f>
        <v>5458</v>
      </c>
      <c r="M16" s="17">
        <v>0</v>
      </c>
      <c r="N16" s="73">
        <v>0</v>
      </c>
      <c r="O16" s="17">
        <v>0</v>
      </c>
      <c r="P16" s="74">
        <f t="shared" ref="P16:P23" si="5">ROUND(N16*1.03,0)</f>
        <v>0</v>
      </c>
      <c r="Q16" s="17">
        <v>0</v>
      </c>
      <c r="R16" s="75">
        <f t="shared" ref="R16:R23" si="6">SUM(H16+J16+L16+N16+P16)</f>
        <v>15901.25</v>
      </c>
      <c r="S16" s="10">
        <f t="shared" si="2"/>
        <v>0</v>
      </c>
      <c r="T16" s="75">
        <f t="shared" ref="T16:T23" si="7">SUM(R16+S16)</f>
        <v>15901.25</v>
      </c>
      <c r="V16" s="392">
        <f>SUM(T16,T43)</f>
        <v>20958.25</v>
      </c>
    </row>
    <row r="17" spans="1:22" hidden="1" outlineLevel="1">
      <c r="A17" s="31"/>
      <c r="B17" s="19">
        <v>3</v>
      </c>
      <c r="C17" s="77"/>
      <c r="D17" s="57">
        <v>0</v>
      </c>
      <c r="E17" s="72">
        <v>0</v>
      </c>
      <c r="F17" s="72">
        <v>0</v>
      </c>
      <c r="G17" s="72">
        <v>0</v>
      </c>
      <c r="H17" s="73">
        <f t="shared" si="1"/>
        <v>0</v>
      </c>
      <c r="I17" s="17">
        <v>0</v>
      </c>
      <c r="J17" s="73">
        <f t="shared" si="3"/>
        <v>0</v>
      </c>
      <c r="K17" s="17">
        <v>0</v>
      </c>
      <c r="L17" s="73">
        <f t="shared" si="4"/>
        <v>0</v>
      </c>
      <c r="M17" s="17">
        <v>0</v>
      </c>
      <c r="N17" s="73">
        <v>0</v>
      </c>
      <c r="O17" s="17">
        <v>0</v>
      </c>
      <c r="P17" s="74">
        <f t="shared" si="5"/>
        <v>0</v>
      </c>
      <c r="Q17" s="17">
        <v>0</v>
      </c>
      <c r="R17" s="75">
        <f t="shared" si="6"/>
        <v>0</v>
      </c>
      <c r="S17" s="10">
        <f t="shared" si="2"/>
        <v>0</v>
      </c>
      <c r="T17" s="75">
        <f t="shared" si="7"/>
        <v>0</v>
      </c>
    </row>
    <row r="18" spans="1:22" hidden="1" outlineLevel="1">
      <c r="A18" s="31"/>
      <c r="B18" s="19">
        <v>4</v>
      </c>
      <c r="C18" s="77"/>
      <c r="D18" s="57">
        <v>0</v>
      </c>
      <c r="E18" s="72">
        <v>0</v>
      </c>
      <c r="F18" s="72">
        <v>0</v>
      </c>
      <c r="G18" s="72">
        <v>0</v>
      </c>
      <c r="H18" s="73">
        <f t="shared" si="1"/>
        <v>0</v>
      </c>
      <c r="I18" s="17">
        <v>0</v>
      </c>
      <c r="J18" s="73">
        <f t="shared" si="3"/>
        <v>0</v>
      </c>
      <c r="K18" s="17">
        <v>0</v>
      </c>
      <c r="L18" s="73">
        <f t="shared" si="4"/>
        <v>0</v>
      </c>
      <c r="M18" s="17">
        <v>0</v>
      </c>
      <c r="N18" s="73">
        <v>0</v>
      </c>
      <c r="O18" s="17">
        <v>0</v>
      </c>
      <c r="P18" s="74">
        <f t="shared" si="5"/>
        <v>0</v>
      </c>
      <c r="Q18" s="17">
        <v>0</v>
      </c>
      <c r="R18" s="75">
        <f t="shared" si="6"/>
        <v>0</v>
      </c>
      <c r="S18" s="10">
        <f t="shared" si="2"/>
        <v>0</v>
      </c>
      <c r="T18" s="75">
        <f t="shared" si="7"/>
        <v>0</v>
      </c>
      <c r="U18" s="388"/>
    </row>
    <row r="19" spans="1:22" hidden="1" outlineLevel="1">
      <c r="A19" s="31"/>
      <c r="B19" s="19">
        <v>5</v>
      </c>
      <c r="C19" s="77"/>
      <c r="D19" s="57">
        <v>0</v>
      </c>
      <c r="E19" s="72">
        <v>0</v>
      </c>
      <c r="F19" s="72">
        <v>0</v>
      </c>
      <c r="G19" s="72">
        <v>0</v>
      </c>
      <c r="H19" s="73">
        <f t="shared" si="1"/>
        <v>0</v>
      </c>
      <c r="I19" s="17">
        <v>0</v>
      </c>
      <c r="J19" s="73">
        <f t="shared" si="3"/>
        <v>0</v>
      </c>
      <c r="K19" s="17">
        <v>0</v>
      </c>
      <c r="L19" s="73">
        <f t="shared" si="4"/>
        <v>0</v>
      </c>
      <c r="M19" s="17">
        <v>0</v>
      </c>
      <c r="N19" s="73">
        <v>0</v>
      </c>
      <c r="O19" s="17">
        <v>0</v>
      </c>
      <c r="P19" s="74">
        <f t="shared" si="5"/>
        <v>0</v>
      </c>
      <c r="Q19" s="17">
        <v>0</v>
      </c>
      <c r="R19" s="75">
        <f t="shared" si="6"/>
        <v>0</v>
      </c>
      <c r="S19" s="10">
        <f t="shared" si="2"/>
        <v>0</v>
      </c>
      <c r="T19" s="75">
        <f t="shared" si="7"/>
        <v>0</v>
      </c>
    </row>
    <row r="20" spans="1:22" hidden="1" outlineLevel="1">
      <c r="A20" s="31"/>
      <c r="B20" s="19">
        <v>6</v>
      </c>
      <c r="C20" s="77"/>
      <c r="D20" s="57">
        <v>0</v>
      </c>
      <c r="E20" s="72">
        <v>0</v>
      </c>
      <c r="F20" s="72">
        <v>0</v>
      </c>
      <c r="G20" s="72">
        <v>0</v>
      </c>
      <c r="H20" s="73">
        <f t="shared" si="1"/>
        <v>0</v>
      </c>
      <c r="I20" s="17">
        <v>0</v>
      </c>
      <c r="J20" s="73">
        <f t="shared" si="3"/>
        <v>0</v>
      </c>
      <c r="K20" s="17">
        <v>0</v>
      </c>
      <c r="L20" s="73">
        <f t="shared" si="4"/>
        <v>0</v>
      </c>
      <c r="M20" s="17">
        <v>0</v>
      </c>
      <c r="N20" s="73">
        <v>0</v>
      </c>
      <c r="O20" s="17">
        <v>0</v>
      </c>
      <c r="P20" s="74">
        <f t="shared" si="5"/>
        <v>0</v>
      </c>
      <c r="Q20" s="17">
        <v>0</v>
      </c>
      <c r="R20" s="75">
        <f t="shared" si="6"/>
        <v>0</v>
      </c>
      <c r="S20" s="10">
        <f t="shared" si="2"/>
        <v>0</v>
      </c>
      <c r="T20" s="75">
        <f t="shared" si="7"/>
        <v>0</v>
      </c>
    </row>
    <row r="21" spans="1:22" hidden="1" outlineLevel="1">
      <c r="A21" s="31"/>
      <c r="B21" s="19">
        <v>7</v>
      </c>
      <c r="C21" s="77"/>
      <c r="D21" s="57">
        <v>0</v>
      </c>
      <c r="E21" s="72">
        <v>0</v>
      </c>
      <c r="F21" s="72">
        <v>0</v>
      </c>
      <c r="G21" s="72">
        <v>0</v>
      </c>
      <c r="H21" s="73">
        <f t="shared" si="1"/>
        <v>0</v>
      </c>
      <c r="I21" s="17">
        <v>0</v>
      </c>
      <c r="J21" s="73">
        <f t="shared" si="3"/>
        <v>0</v>
      </c>
      <c r="K21" s="17">
        <v>0</v>
      </c>
      <c r="L21" s="73">
        <f t="shared" si="4"/>
        <v>0</v>
      </c>
      <c r="M21" s="17">
        <v>0</v>
      </c>
      <c r="N21" s="73">
        <v>0</v>
      </c>
      <c r="O21" s="17">
        <v>0</v>
      </c>
      <c r="P21" s="74">
        <f t="shared" si="5"/>
        <v>0</v>
      </c>
      <c r="Q21" s="17">
        <v>0</v>
      </c>
      <c r="R21" s="75">
        <f t="shared" si="6"/>
        <v>0</v>
      </c>
      <c r="S21" s="10">
        <f t="shared" si="2"/>
        <v>0</v>
      </c>
      <c r="T21" s="75">
        <f t="shared" si="7"/>
        <v>0</v>
      </c>
    </row>
    <row r="22" spans="1:22" hidden="1" outlineLevel="1">
      <c r="A22" s="31"/>
      <c r="B22" s="19">
        <v>8</v>
      </c>
      <c r="C22" s="77"/>
      <c r="D22" s="57">
        <v>0</v>
      </c>
      <c r="E22" s="72">
        <v>0</v>
      </c>
      <c r="F22" s="72">
        <v>0</v>
      </c>
      <c r="G22" s="72">
        <v>0</v>
      </c>
      <c r="H22" s="73">
        <f t="shared" si="1"/>
        <v>0</v>
      </c>
      <c r="I22" s="17">
        <v>0</v>
      </c>
      <c r="J22" s="73">
        <f t="shared" si="3"/>
        <v>0</v>
      </c>
      <c r="K22" s="17">
        <v>0</v>
      </c>
      <c r="L22" s="73">
        <f t="shared" si="4"/>
        <v>0</v>
      </c>
      <c r="M22" s="17">
        <v>0</v>
      </c>
      <c r="N22" s="73">
        <v>0</v>
      </c>
      <c r="O22" s="17">
        <v>0</v>
      </c>
      <c r="P22" s="74">
        <f t="shared" si="5"/>
        <v>0</v>
      </c>
      <c r="Q22" s="17">
        <v>0</v>
      </c>
      <c r="R22" s="75">
        <f t="shared" si="6"/>
        <v>0</v>
      </c>
      <c r="S22" s="10">
        <f t="shared" si="2"/>
        <v>0</v>
      </c>
      <c r="T22" s="75">
        <f t="shared" si="7"/>
        <v>0</v>
      </c>
    </row>
    <row r="23" spans="1:22" hidden="1" outlineLevel="1">
      <c r="A23" s="31"/>
      <c r="B23" s="19">
        <v>9</v>
      </c>
      <c r="C23" s="77"/>
      <c r="D23" s="57">
        <v>0</v>
      </c>
      <c r="E23" s="72">
        <v>0</v>
      </c>
      <c r="F23" s="72">
        <v>0</v>
      </c>
      <c r="G23" s="72">
        <v>0</v>
      </c>
      <c r="H23" s="73">
        <f t="shared" si="1"/>
        <v>0</v>
      </c>
      <c r="I23" s="17">
        <v>0</v>
      </c>
      <c r="J23" s="73">
        <f t="shared" si="3"/>
        <v>0</v>
      </c>
      <c r="K23" s="17">
        <v>0</v>
      </c>
      <c r="L23" s="73">
        <f t="shared" si="4"/>
        <v>0</v>
      </c>
      <c r="M23" s="17">
        <v>0</v>
      </c>
      <c r="N23" s="73">
        <v>0</v>
      </c>
      <c r="O23" s="17">
        <v>0</v>
      </c>
      <c r="P23" s="74">
        <f t="shared" si="5"/>
        <v>0</v>
      </c>
      <c r="Q23" s="17">
        <v>0</v>
      </c>
      <c r="R23" s="75">
        <f t="shared" si="6"/>
        <v>0</v>
      </c>
      <c r="S23" s="10">
        <f t="shared" si="2"/>
        <v>0</v>
      </c>
      <c r="T23" s="75">
        <f t="shared" si="7"/>
        <v>0</v>
      </c>
    </row>
    <row r="24" spans="1:22" ht="15.6" collapsed="1">
      <c r="A24" s="32"/>
      <c r="B24" s="32"/>
      <c r="C24" s="32"/>
      <c r="D24" s="33"/>
      <c r="E24" s="33" t="s">
        <v>38</v>
      </c>
      <c r="F24" s="50"/>
      <c r="G24" s="33" t="s">
        <v>47</v>
      </c>
      <c r="H24" s="34"/>
      <c r="I24" s="34"/>
      <c r="J24" s="34"/>
      <c r="K24" s="34"/>
      <c r="L24" s="34"/>
      <c r="M24" s="34"/>
      <c r="N24" s="34"/>
      <c r="O24" s="34"/>
      <c r="P24" s="34"/>
      <c r="Q24" s="34"/>
      <c r="R24" s="14"/>
      <c r="S24" s="14"/>
      <c r="T24" s="14"/>
      <c r="U24" s="387"/>
    </row>
    <row r="25" spans="1:22" ht="15.6">
      <c r="A25" s="40" t="s">
        <v>48</v>
      </c>
      <c r="B25" s="21"/>
      <c r="C25" s="39" t="s">
        <v>49</v>
      </c>
      <c r="D25" s="24" t="s">
        <v>43</v>
      </c>
      <c r="E25" s="24" t="s">
        <v>44</v>
      </c>
      <c r="F25" s="31"/>
      <c r="G25" s="24" t="s">
        <v>50</v>
      </c>
      <c r="H25" s="26">
        <f t="shared" ref="H25:Q25" si="8">SUM(H26:H37)</f>
        <v>61063</v>
      </c>
      <c r="I25" s="27">
        <f t="shared" si="8"/>
        <v>0</v>
      </c>
      <c r="J25" s="26">
        <f t="shared" si="8"/>
        <v>62896</v>
      </c>
      <c r="K25" s="27">
        <f t="shared" si="8"/>
        <v>0</v>
      </c>
      <c r="L25" s="26">
        <f t="shared" si="8"/>
        <v>64783</v>
      </c>
      <c r="M25" s="27">
        <f t="shared" si="8"/>
        <v>0</v>
      </c>
      <c r="N25" s="26">
        <f t="shared" si="8"/>
        <v>0</v>
      </c>
      <c r="O25" s="27">
        <f t="shared" si="8"/>
        <v>0</v>
      </c>
      <c r="P25" s="29">
        <f t="shared" si="8"/>
        <v>0</v>
      </c>
      <c r="Q25" s="27">
        <f t="shared" si="8"/>
        <v>0</v>
      </c>
      <c r="R25" s="8">
        <f>SUM(H25+J25+L25+N25+P25)</f>
        <v>188742</v>
      </c>
      <c r="S25" s="9">
        <f>SUM(I25+K25+M25+O25+Q25)</f>
        <v>0</v>
      </c>
      <c r="T25" s="8">
        <f>SUM(R25+S25)</f>
        <v>188742</v>
      </c>
      <c r="U25" s="387"/>
    </row>
    <row r="26" spans="1:22" hidden="1" outlineLevel="1">
      <c r="A26" s="31"/>
      <c r="B26" s="19">
        <v>1</v>
      </c>
      <c r="C26" s="77" t="s">
        <v>51</v>
      </c>
      <c r="D26" s="57">
        <v>0</v>
      </c>
      <c r="E26" s="72">
        <v>0</v>
      </c>
      <c r="F26" s="77"/>
      <c r="G26" s="72">
        <v>0</v>
      </c>
      <c r="H26" s="73">
        <f t="shared" ref="H26:H37" si="9">D26*(E26)*G26</f>
        <v>0</v>
      </c>
      <c r="I26" s="17">
        <v>0</v>
      </c>
      <c r="J26" s="73">
        <f>ROUND(H26*1.03,0)</f>
        <v>0</v>
      </c>
      <c r="K26" s="17">
        <v>0</v>
      </c>
      <c r="L26" s="73">
        <f>ROUND(J26*1.03,0)</f>
        <v>0</v>
      </c>
      <c r="M26" s="17">
        <v>0</v>
      </c>
      <c r="N26" s="73">
        <v>0</v>
      </c>
      <c r="O26" s="17">
        <v>0</v>
      </c>
      <c r="P26" s="74">
        <f>ROUND(N26*1.03,0)</f>
        <v>0</v>
      </c>
      <c r="Q26" s="17">
        <v>0</v>
      </c>
      <c r="R26" s="75">
        <f t="shared" ref="R26:S37" si="10">SUM(H26+J26+L26+N26+P26)</f>
        <v>0</v>
      </c>
      <c r="S26" s="10">
        <f t="shared" si="10"/>
        <v>0</v>
      </c>
      <c r="T26" s="75">
        <f t="shared" ref="T26:T37" si="11">SUM(R26+S26)</f>
        <v>0</v>
      </c>
    </row>
    <row r="27" spans="1:22" hidden="1" outlineLevel="1">
      <c r="A27" s="31"/>
      <c r="B27" s="19">
        <v>2</v>
      </c>
      <c r="C27" s="77" t="s">
        <v>51</v>
      </c>
      <c r="D27" s="57">
        <v>0</v>
      </c>
      <c r="E27" s="72">
        <v>0</v>
      </c>
      <c r="F27" s="77"/>
      <c r="G27" s="72">
        <v>0</v>
      </c>
      <c r="H27" s="73">
        <f t="shared" si="9"/>
        <v>0</v>
      </c>
      <c r="I27" s="17">
        <v>0</v>
      </c>
      <c r="J27" s="73">
        <f t="shared" ref="J27:J37" si="12">ROUND(H27*1.03,0)</f>
        <v>0</v>
      </c>
      <c r="K27" s="17">
        <v>0</v>
      </c>
      <c r="L27" s="73">
        <f t="shared" ref="L27:L37" si="13">ROUND(J27*1.03,0)</f>
        <v>0</v>
      </c>
      <c r="M27" s="17">
        <v>0</v>
      </c>
      <c r="N27" s="73">
        <v>0</v>
      </c>
      <c r="O27" s="17">
        <v>0</v>
      </c>
      <c r="P27" s="74">
        <f t="shared" ref="P27:P37" si="14">ROUND(N27*1.03,0)</f>
        <v>0</v>
      </c>
      <c r="Q27" s="17">
        <v>0</v>
      </c>
      <c r="R27" s="75">
        <f t="shared" si="10"/>
        <v>0</v>
      </c>
      <c r="S27" s="10">
        <f t="shared" si="10"/>
        <v>0</v>
      </c>
      <c r="T27" s="75">
        <f t="shared" si="11"/>
        <v>0</v>
      </c>
    </row>
    <row r="28" spans="1:22" collapsed="1">
      <c r="A28" s="31"/>
      <c r="B28" s="19">
        <v>3</v>
      </c>
      <c r="C28" s="77" t="s">
        <v>52</v>
      </c>
      <c r="D28" s="57">
        <v>2500</v>
      </c>
      <c r="E28" s="72">
        <v>12</v>
      </c>
      <c r="F28" s="77"/>
      <c r="G28" s="72">
        <v>1</v>
      </c>
      <c r="H28" s="73">
        <f t="shared" si="9"/>
        <v>30000</v>
      </c>
      <c r="I28" s="17">
        <v>0</v>
      </c>
      <c r="J28" s="73">
        <f t="shared" si="12"/>
        <v>30900</v>
      </c>
      <c r="K28" s="17">
        <v>0</v>
      </c>
      <c r="L28" s="73">
        <f t="shared" si="13"/>
        <v>31827</v>
      </c>
      <c r="M28" s="17">
        <v>0</v>
      </c>
      <c r="N28" s="73">
        <v>0</v>
      </c>
      <c r="O28" s="17">
        <v>0</v>
      </c>
      <c r="P28" s="74">
        <f t="shared" si="14"/>
        <v>0</v>
      </c>
      <c r="Q28" s="17">
        <v>0</v>
      </c>
      <c r="R28" s="75">
        <f t="shared" si="10"/>
        <v>92727</v>
      </c>
      <c r="S28" s="10">
        <f t="shared" si="10"/>
        <v>0</v>
      </c>
      <c r="T28" s="75">
        <f t="shared" si="11"/>
        <v>92727</v>
      </c>
      <c r="V28" s="392">
        <f>SUM(T28,T53)</f>
        <v>106822</v>
      </c>
    </row>
    <row r="29" spans="1:22">
      <c r="A29" s="31"/>
      <c r="B29" s="19">
        <v>4</v>
      </c>
      <c r="C29" s="77" t="s">
        <v>52</v>
      </c>
      <c r="D29" s="57">
        <v>2500</v>
      </c>
      <c r="E29" s="72">
        <v>4.5</v>
      </c>
      <c r="F29" s="77"/>
      <c r="G29" s="72">
        <v>1</v>
      </c>
      <c r="H29" s="73">
        <f t="shared" si="9"/>
        <v>11250</v>
      </c>
      <c r="I29" s="17">
        <v>0</v>
      </c>
      <c r="J29" s="73">
        <f t="shared" si="12"/>
        <v>11588</v>
      </c>
      <c r="K29" s="17">
        <v>0</v>
      </c>
      <c r="L29" s="73">
        <f t="shared" si="13"/>
        <v>11936</v>
      </c>
      <c r="M29" s="17">
        <v>0</v>
      </c>
      <c r="N29" s="73">
        <v>0</v>
      </c>
      <c r="O29" s="17">
        <v>0</v>
      </c>
      <c r="P29" s="74">
        <f t="shared" si="14"/>
        <v>0</v>
      </c>
      <c r="Q29" s="17">
        <v>0</v>
      </c>
      <c r="R29" s="75">
        <f t="shared" si="10"/>
        <v>34774</v>
      </c>
      <c r="S29" s="10">
        <f t="shared" si="10"/>
        <v>0</v>
      </c>
      <c r="T29" s="75">
        <f t="shared" si="11"/>
        <v>34774</v>
      </c>
    </row>
    <row r="30" spans="1:22">
      <c r="A30" s="31"/>
      <c r="B30" s="19">
        <v>5</v>
      </c>
      <c r="C30" s="77" t="s">
        <v>53</v>
      </c>
      <c r="D30" s="57">
        <v>720</v>
      </c>
      <c r="E30" s="72">
        <v>8</v>
      </c>
      <c r="F30" s="77"/>
      <c r="G30" s="72">
        <v>2</v>
      </c>
      <c r="H30" s="73">
        <f t="shared" si="9"/>
        <v>11520</v>
      </c>
      <c r="I30" s="17">
        <v>0</v>
      </c>
      <c r="J30" s="73">
        <f t="shared" si="12"/>
        <v>11866</v>
      </c>
      <c r="K30" s="17">
        <v>0</v>
      </c>
      <c r="L30" s="73">
        <f t="shared" si="13"/>
        <v>12222</v>
      </c>
      <c r="M30" s="17">
        <v>0</v>
      </c>
      <c r="N30" s="73">
        <v>0</v>
      </c>
      <c r="O30" s="17">
        <v>0</v>
      </c>
      <c r="P30" s="74">
        <f t="shared" si="14"/>
        <v>0</v>
      </c>
      <c r="Q30" s="17">
        <v>0</v>
      </c>
      <c r="R30" s="75">
        <f t="shared" si="10"/>
        <v>35608</v>
      </c>
      <c r="S30" s="10">
        <f t="shared" si="10"/>
        <v>0</v>
      </c>
      <c r="T30" s="75">
        <f t="shared" si="11"/>
        <v>35608</v>
      </c>
      <c r="V30" s="392">
        <f>SUM(T30,T55)</f>
        <v>36249</v>
      </c>
    </row>
    <row r="31" spans="1:22" hidden="1" outlineLevel="1">
      <c r="A31" s="31"/>
      <c r="B31" s="19">
        <v>6</v>
      </c>
      <c r="C31" s="77" t="s">
        <v>53</v>
      </c>
      <c r="D31" s="57">
        <v>0</v>
      </c>
      <c r="E31" s="72">
        <v>0</v>
      </c>
      <c r="F31" s="77"/>
      <c r="G31" s="72">
        <v>0</v>
      </c>
      <c r="H31" s="73">
        <f t="shared" si="9"/>
        <v>0</v>
      </c>
      <c r="I31" s="17">
        <v>0</v>
      </c>
      <c r="J31" s="73">
        <f t="shared" si="12"/>
        <v>0</v>
      </c>
      <c r="K31" s="17">
        <v>0</v>
      </c>
      <c r="L31" s="73">
        <f t="shared" si="13"/>
        <v>0</v>
      </c>
      <c r="M31" s="17">
        <v>0</v>
      </c>
      <c r="N31" s="73">
        <v>0</v>
      </c>
      <c r="O31" s="17">
        <v>0</v>
      </c>
      <c r="P31" s="74">
        <f t="shared" si="14"/>
        <v>0</v>
      </c>
      <c r="Q31" s="17">
        <v>0</v>
      </c>
      <c r="R31" s="75">
        <f t="shared" si="10"/>
        <v>0</v>
      </c>
      <c r="S31" s="10">
        <f t="shared" si="10"/>
        <v>0</v>
      </c>
      <c r="T31" s="75">
        <f t="shared" si="11"/>
        <v>0</v>
      </c>
    </row>
    <row r="32" spans="1:22" collapsed="1">
      <c r="A32" s="31"/>
      <c r="B32" s="19">
        <v>7</v>
      </c>
      <c r="C32" s="77" t="s">
        <v>54</v>
      </c>
      <c r="D32" s="57">
        <v>8293</v>
      </c>
      <c r="E32" s="72">
        <v>1</v>
      </c>
      <c r="F32" s="77"/>
      <c r="G32" s="72">
        <v>1</v>
      </c>
      <c r="H32" s="73">
        <f t="shared" si="9"/>
        <v>8293</v>
      </c>
      <c r="I32" s="17">
        <v>0</v>
      </c>
      <c r="J32" s="73">
        <f t="shared" si="12"/>
        <v>8542</v>
      </c>
      <c r="K32" s="17">
        <v>0</v>
      </c>
      <c r="L32" s="73">
        <f t="shared" si="13"/>
        <v>8798</v>
      </c>
      <c r="M32" s="17">
        <v>0</v>
      </c>
      <c r="N32" s="73">
        <v>0</v>
      </c>
      <c r="O32" s="17">
        <v>0</v>
      </c>
      <c r="P32" s="74">
        <f t="shared" si="14"/>
        <v>0</v>
      </c>
      <c r="Q32" s="17">
        <v>0</v>
      </c>
      <c r="R32" s="75">
        <f t="shared" si="10"/>
        <v>25633</v>
      </c>
      <c r="S32" s="10">
        <f t="shared" si="10"/>
        <v>0</v>
      </c>
      <c r="T32" s="75">
        <f t="shared" si="11"/>
        <v>25633</v>
      </c>
      <c r="V32" s="392">
        <f>SUM(T32,T57)</f>
        <v>36015</v>
      </c>
    </row>
    <row r="33" spans="1:21" hidden="1" outlineLevel="1">
      <c r="A33" s="31"/>
      <c r="B33" s="19">
        <v>8</v>
      </c>
      <c r="C33" s="77" t="s">
        <v>55</v>
      </c>
      <c r="D33" s="57">
        <v>0</v>
      </c>
      <c r="E33" s="72">
        <v>0</v>
      </c>
      <c r="F33" s="77"/>
      <c r="G33" s="72">
        <v>0</v>
      </c>
      <c r="H33" s="73">
        <f t="shared" si="9"/>
        <v>0</v>
      </c>
      <c r="I33" s="17">
        <v>0</v>
      </c>
      <c r="J33" s="73">
        <f t="shared" si="12"/>
        <v>0</v>
      </c>
      <c r="K33" s="17">
        <v>0</v>
      </c>
      <c r="L33" s="73">
        <f t="shared" si="13"/>
        <v>0</v>
      </c>
      <c r="M33" s="17">
        <v>0</v>
      </c>
      <c r="N33" s="73">
        <v>0</v>
      </c>
      <c r="O33" s="17">
        <v>0</v>
      </c>
      <c r="P33" s="74">
        <f t="shared" si="14"/>
        <v>0</v>
      </c>
      <c r="Q33" s="17">
        <v>0</v>
      </c>
      <c r="R33" s="75">
        <f t="shared" si="10"/>
        <v>0</v>
      </c>
      <c r="S33" s="10">
        <f t="shared" si="10"/>
        <v>0</v>
      </c>
      <c r="T33" s="75">
        <f t="shared" si="11"/>
        <v>0</v>
      </c>
    </row>
    <row r="34" spans="1:21" hidden="1" outlineLevel="1">
      <c r="A34" s="31"/>
      <c r="B34" s="19">
        <v>9</v>
      </c>
      <c r="C34" s="77" t="s">
        <v>56</v>
      </c>
      <c r="D34" s="57">
        <v>0</v>
      </c>
      <c r="E34" s="72">
        <v>0</v>
      </c>
      <c r="F34" s="77"/>
      <c r="G34" s="72">
        <v>0</v>
      </c>
      <c r="H34" s="73">
        <f t="shared" si="9"/>
        <v>0</v>
      </c>
      <c r="I34" s="17">
        <v>0</v>
      </c>
      <c r="J34" s="73">
        <f t="shared" si="12"/>
        <v>0</v>
      </c>
      <c r="K34" s="17">
        <v>0</v>
      </c>
      <c r="L34" s="73">
        <f t="shared" si="13"/>
        <v>0</v>
      </c>
      <c r="M34" s="17">
        <v>0</v>
      </c>
      <c r="N34" s="73">
        <v>0</v>
      </c>
      <c r="O34" s="17">
        <v>0</v>
      </c>
      <c r="P34" s="74">
        <f t="shared" si="14"/>
        <v>0</v>
      </c>
      <c r="Q34" s="17">
        <v>0</v>
      </c>
      <c r="R34" s="75">
        <f t="shared" si="10"/>
        <v>0</v>
      </c>
      <c r="S34" s="10">
        <f t="shared" si="10"/>
        <v>0</v>
      </c>
      <c r="T34" s="75">
        <f t="shared" si="11"/>
        <v>0</v>
      </c>
    </row>
    <row r="35" spans="1:21" hidden="1" outlineLevel="1">
      <c r="A35" s="31"/>
      <c r="B35" s="19">
        <v>10</v>
      </c>
      <c r="C35" s="77" t="s">
        <v>56</v>
      </c>
      <c r="D35" s="57">
        <v>0</v>
      </c>
      <c r="E35" s="72">
        <v>0</v>
      </c>
      <c r="F35" s="77"/>
      <c r="G35" s="72">
        <v>0</v>
      </c>
      <c r="H35" s="73">
        <f t="shared" si="9"/>
        <v>0</v>
      </c>
      <c r="I35" s="17">
        <v>0</v>
      </c>
      <c r="J35" s="73">
        <f t="shared" si="12"/>
        <v>0</v>
      </c>
      <c r="K35" s="17">
        <v>0</v>
      </c>
      <c r="L35" s="73">
        <f t="shared" si="13"/>
        <v>0</v>
      </c>
      <c r="M35" s="17">
        <v>0</v>
      </c>
      <c r="N35" s="73">
        <v>0</v>
      </c>
      <c r="O35" s="17">
        <v>0</v>
      </c>
      <c r="P35" s="74">
        <f t="shared" si="14"/>
        <v>0</v>
      </c>
      <c r="Q35" s="17">
        <v>0</v>
      </c>
      <c r="R35" s="75">
        <f t="shared" si="10"/>
        <v>0</v>
      </c>
      <c r="S35" s="10">
        <f t="shared" si="10"/>
        <v>0</v>
      </c>
      <c r="T35" s="75">
        <f t="shared" si="11"/>
        <v>0</v>
      </c>
    </row>
    <row r="36" spans="1:21" hidden="1" outlineLevel="1">
      <c r="A36" s="31"/>
      <c r="B36" s="19">
        <v>11</v>
      </c>
      <c r="C36" s="77" t="s">
        <v>57</v>
      </c>
      <c r="D36" s="57">
        <v>0</v>
      </c>
      <c r="E36" s="72">
        <v>0</v>
      </c>
      <c r="F36" s="77"/>
      <c r="G36" s="72">
        <v>0</v>
      </c>
      <c r="H36" s="73">
        <f t="shared" si="9"/>
        <v>0</v>
      </c>
      <c r="I36" s="17">
        <v>0</v>
      </c>
      <c r="J36" s="73">
        <f t="shared" si="12"/>
        <v>0</v>
      </c>
      <c r="K36" s="17">
        <v>0</v>
      </c>
      <c r="L36" s="73">
        <f t="shared" si="13"/>
        <v>0</v>
      </c>
      <c r="M36" s="17">
        <v>0</v>
      </c>
      <c r="N36" s="73">
        <v>0</v>
      </c>
      <c r="O36" s="17">
        <v>0</v>
      </c>
      <c r="P36" s="74">
        <f t="shared" si="14"/>
        <v>0</v>
      </c>
      <c r="Q36" s="17">
        <v>0</v>
      </c>
      <c r="R36" s="75">
        <f t="shared" si="10"/>
        <v>0</v>
      </c>
      <c r="S36" s="10">
        <f t="shared" si="10"/>
        <v>0</v>
      </c>
      <c r="T36" s="75">
        <f t="shared" si="11"/>
        <v>0</v>
      </c>
    </row>
    <row r="37" spans="1:21" hidden="1" outlineLevel="1">
      <c r="A37" s="31"/>
      <c r="B37" s="19">
        <v>12</v>
      </c>
      <c r="C37" s="77" t="s">
        <v>57</v>
      </c>
      <c r="D37" s="57">
        <v>0</v>
      </c>
      <c r="E37" s="72">
        <v>0</v>
      </c>
      <c r="F37" s="77"/>
      <c r="G37" s="72">
        <v>0</v>
      </c>
      <c r="H37" s="73">
        <f t="shared" si="9"/>
        <v>0</v>
      </c>
      <c r="I37" s="17">
        <v>0</v>
      </c>
      <c r="J37" s="73">
        <f t="shared" si="12"/>
        <v>0</v>
      </c>
      <c r="K37" s="17">
        <v>0</v>
      </c>
      <c r="L37" s="73">
        <f t="shared" si="13"/>
        <v>0</v>
      </c>
      <c r="M37" s="17">
        <v>0</v>
      </c>
      <c r="N37" s="73">
        <v>0</v>
      </c>
      <c r="O37" s="17">
        <v>0</v>
      </c>
      <c r="P37" s="74">
        <f t="shared" si="14"/>
        <v>0</v>
      </c>
      <c r="Q37" s="17">
        <v>0</v>
      </c>
      <c r="R37" s="75">
        <f t="shared" si="10"/>
        <v>0</v>
      </c>
      <c r="S37" s="10">
        <f t="shared" si="10"/>
        <v>0</v>
      </c>
      <c r="T37" s="75">
        <f t="shared" si="11"/>
        <v>0</v>
      </c>
    </row>
    <row r="38" spans="1:21" collapsed="1">
      <c r="A38" s="19"/>
      <c r="B38" s="19"/>
      <c r="C38" s="31"/>
      <c r="D38" s="24"/>
      <c r="E38" s="24"/>
      <c r="F38" s="24"/>
      <c r="G38" s="24"/>
      <c r="H38" s="35"/>
      <c r="I38" s="35"/>
      <c r="J38" s="35"/>
      <c r="K38" s="35"/>
      <c r="L38" s="35"/>
      <c r="M38" s="35"/>
      <c r="N38" s="35"/>
      <c r="O38" s="35"/>
      <c r="P38" s="35"/>
      <c r="Q38" s="35"/>
      <c r="R38" s="12"/>
      <c r="S38" s="12"/>
      <c r="T38" s="13"/>
    </row>
    <row r="39" spans="1:21" s="6" customFormat="1" ht="15.6">
      <c r="A39" s="22"/>
      <c r="B39" s="22"/>
      <c r="C39" s="21" t="s">
        <v>58</v>
      </c>
      <c r="D39" s="36"/>
      <c r="E39" s="36"/>
      <c r="F39" s="36"/>
      <c r="G39" s="36"/>
      <c r="H39" s="29">
        <f t="shared" ref="H39:Q39" si="15">+H14+H25</f>
        <v>78218.164166666669</v>
      </c>
      <c r="I39" s="85">
        <f t="shared" si="15"/>
        <v>0</v>
      </c>
      <c r="J39" s="86">
        <f t="shared" si="15"/>
        <v>80566</v>
      </c>
      <c r="K39" s="85">
        <f t="shared" si="15"/>
        <v>0</v>
      </c>
      <c r="L39" s="86">
        <f t="shared" si="15"/>
        <v>82983</v>
      </c>
      <c r="M39" s="85">
        <f t="shared" si="15"/>
        <v>0</v>
      </c>
      <c r="N39" s="86">
        <f t="shared" si="15"/>
        <v>0</v>
      </c>
      <c r="O39" s="85">
        <f t="shared" si="15"/>
        <v>0</v>
      </c>
      <c r="P39" s="86">
        <f t="shared" si="15"/>
        <v>0</v>
      </c>
      <c r="Q39" s="85">
        <f t="shared" si="15"/>
        <v>0</v>
      </c>
      <c r="R39" s="87">
        <f>SUM(H39+J39+L39+N39+P39)</f>
        <v>241767.16416666668</v>
      </c>
      <c r="S39" s="9">
        <f>SUM(I39+K39+M39+O39+Q39)</f>
        <v>0</v>
      </c>
      <c r="T39" s="88">
        <f>SUM(R39+S39)</f>
        <v>241767.16416666668</v>
      </c>
      <c r="U39" s="387"/>
    </row>
    <row r="40" spans="1:21" ht="15.6">
      <c r="A40" s="19"/>
      <c r="B40" s="19"/>
      <c r="C40" s="19"/>
      <c r="D40" s="24"/>
      <c r="E40" s="24"/>
      <c r="F40" s="24"/>
      <c r="G40" s="24"/>
      <c r="H40" s="34"/>
      <c r="I40" s="34"/>
      <c r="J40" s="34"/>
      <c r="K40" s="34"/>
      <c r="L40" s="34"/>
      <c r="M40" s="34"/>
      <c r="N40" s="34"/>
      <c r="O40" s="34"/>
      <c r="P40" s="34"/>
      <c r="Q40" s="34"/>
      <c r="R40" s="14"/>
      <c r="S40" s="14"/>
      <c r="T40" s="11"/>
      <c r="U40" s="387"/>
    </row>
    <row r="41" spans="1:21" ht="15.6">
      <c r="A41" s="40" t="s">
        <v>59</v>
      </c>
      <c r="B41" s="21"/>
      <c r="C41" s="39" t="s">
        <v>60</v>
      </c>
      <c r="D41" s="24" t="s">
        <v>61</v>
      </c>
      <c r="E41" s="24"/>
      <c r="F41" s="24"/>
      <c r="G41" s="24"/>
      <c r="H41" s="26">
        <f t="shared" ref="H41:Q41" si="16">SUM(H42:H62)</f>
        <v>16336</v>
      </c>
      <c r="I41" s="27">
        <f t="shared" si="16"/>
        <v>0</v>
      </c>
      <c r="J41" s="26">
        <f t="shared" si="16"/>
        <v>16827</v>
      </c>
      <c r="K41" s="27">
        <f t="shared" si="16"/>
        <v>0</v>
      </c>
      <c r="L41" s="26">
        <f t="shared" si="16"/>
        <v>17332</v>
      </c>
      <c r="M41" s="27">
        <f t="shared" si="16"/>
        <v>0</v>
      </c>
      <c r="N41" s="26">
        <f t="shared" si="16"/>
        <v>0</v>
      </c>
      <c r="O41" s="27">
        <f t="shared" si="16"/>
        <v>0</v>
      </c>
      <c r="P41" s="29">
        <f t="shared" si="16"/>
        <v>0</v>
      </c>
      <c r="Q41" s="27">
        <f t="shared" si="16"/>
        <v>0</v>
      </c>
      <c r="R41" s="8">
        <f>SUM(H41+J41+L41+N41+P41)</f>
        <v>50495</v>
      </c>
      <c r="S41" s="9">
        <f>SUM(I41+K41+M41+O41+Q41)</f>
        <v>0</v>
      </c>
      <c r="T41" s="8">
        <f>SUM(R41+S41)</f>
        <v>50495</v>
      </c>
    </row>
    <row r="42" spans="1:21">
      <c r="A42" s="31"/>
      <c r="B42" s="19"/>
      <c r="C42" s="77" t="str">
        <f>+C15</f>
        <v>Brian K Gelder</v>
      </c>
      <c r="D42" s="397">
        <v>0.40500000000000003</v>
      </c>
      <c r="E42" s="397"/>
      <c r="F42" s="72"/>
      <c r="G42" s="72"/>
      <c r="H42" s="73">
        <f>ROUND(D42*H15,0)</f>
        <v>4864</v>
      </c>
      <c r="I42" s="17">
        <f>ROUND(D42*I15,0)</f>
        <v>0</v>
      </c>
      <c r="J42" s="73">
        <f>ROUND(D42*J15,0)</f>
        <v>5010</v>
      </c>
      <c r="K42" s="17">
        <f>ROUND(D42*K15,0)</f>
        <v>0</v>
      </c>
      <c r="L42" s="73">
        <f>ROUND(D42*L15,0)</f>
        <v>5161</v>
      </c>
      <c r="M42" s="17">
        <f>ROUND(D42*M15,0)</f>
        <v>0</v>
      </c>
      <c r="N42" s="73">
        <f>ROUND(D42*N15,0)</f>
        <v>0</v>
      </c>
      <c r="O42" s="18">
        <f>ROUND(D42*O15,0)</f>
        <v>0</v>
      </c>
      <c r="P42" s="74">
        <f>ROUND(D42*P15,0)</f>
        <v>0</v>
      </c>
      <c r="Q42" s="18">
        <f>ROUND(D42*Q15,0)</f>
        <v>0</v>
      </c>
      <c r="R42" s="75">
        <f t="shared" ref="R42:S62" si="17">SUM(H42+J42+L42+N42+P42)</f>
        <v>15035</v>
      </c>
      <c r="S42" s="10">
        <f t="shared" si="17"/>
        <v>0</v>
      </c>
      <c r="T42" s="75">
        <f t="shared" ref="T42:T62" si="18">SUM(R42+S42)</f>
        <v>15035</v>
      </c>
      <c r="U42" s="387"/>
    </row>
    <row r="43" spans="1:21">
      <c r="A43" s="31"/>
      <c r="B43" s="19"/>
      <c r="C43" s="77" t="str">
        <f>+C16</f>
        <v>Ali Jannesari</v>
      </c>
      <c r="D43" s="397">
        <v>0.318</v>
      </c>
      <c r="E43" s="397"/>
      <c r="F43" s="72"/>
      <c r="G43" s="72"/>
      <c r="H43" s="73">
        <f>ROUND(D43*H16,0)</f>
        <v>1636</v>
      </c>
      <c r="I43" s="17">
        <f>ROUND(D43*I16,0)</f>
        <v>0</v>
      </c>
      <c r="J43" s="73">
        <f>ROUND(D43*J16,0)</f>
        <v>1685</v>
      </c>
      <c r="K43" s="17">
        <f>ROUND(D43*K16,0)</f>
        <v>0</v>
      </c>
      <c r="L43" s="73">
        <f>ROUND(D43*L16,0)</f>
        <v>1736</v>
      </c>
      <c r="M43" s="17">
        <f>ROUND(D43*M16,0)</f>
        <v>0</v>
      </c>
      <c r="N43" s="73">
        <f>ROUND(D43*N16,0)</f>
        <v>0</v>
      </c>
      <c r="O43" s="18">
        <f>ROUND(D43*O16,0)</f>
        <v>0</v>
      </c>
      <c r="P43" s="74">
        <f>ROUND(D43*P16,0)</f>
        <v>0</v>
      </c>
      <c r="Q43" s="18">
        <f>ROUND(D43*Q16,0)</f>
        <v>0</v>
      </c>
      <c r="R43" s="75">
        <f t="shared" si="17"/>
        <v>5057</v>
      </c>
      <c r="S43" s="10">
        <f t="shared" si="17"/>
        <v>0</v>
      </c>
      <c r="T43" s="75">
        <f t="shared" si="18"/>
        <v>5057</v>
      </c>
      <c r="U43" s="387"/>
    </row>
    <row r="44" spans="1:21" hidden="1" outlineLevel="1">
      <c r="A44" s="31"/>
      <c r="B44" s="19"/>
      <c r="C44" s="77">
        <f>+C17</f>
        <v>0</v>
      </c>
      <c r="D44" s="397">
        <v>0.318</v>
      </c>
      <c r="E44" s="397"/>
      <c r="F44" s="72"/>
      <c r="G44" s="72"/>
      <c r="H44" s="73">
        <f t="shared" ref="H44:H50" si="19">ROUND(D44*H17,0)</f>
        <v>0</v>
      </c>
      <c r="I44" s="17">
        <f t="shared" ref="I44:I50" si="20">ROUND(D44*I17,0)</f>
        <v>0</v>
      </c>
      <c r="J44" s="73">
        <f t="shared" ref="J44:J50" si="21">ROUND(D44*J17,0)</f>
        <v>0</v>
      </c>
      <c r="K44" s="17">
        <f t="shared" ref="K44:K50" si="22">ROUND(D44*K17,0)</f>
        <v>0</v>
      </c>
      <c r="L44" s="73">
        <f t="shared" ref="L44:L50" si="23">ROUND(D44*L17,0)</f>
        <v>0</v>
      </c>
      <c r="M44" s="17">
        <f t="shared" ref="M44:M50" si="24">ROUND(D44*M17,0)</f>
        <v>0</v>
      </c>
      <c r="N44" s="73">
        <f t="shared" ref="N44:N50" si="25">ROUND(D44*N17,0)</f>
        <v>0</v>
      </c>
      <c r="O44" s="18">
        <f t="shared" ref="O44:O50" si="26">ROUND(D44*O17,0)</f>
        <v>0</v>
      </c>
      <c r="P44" s="74">
        <f t="shared" ref="P44:P50" si="27">ROUND(D44*P17,0)</f>
        <v>0</v>
      </c>
      <c r="Q44" s="18">
        <f t="shared" ref="Q44:Q50" si="28">ROUND(D44*Q17,0)</f>
        <v>0</v>
      </c>
      <c r="R44" s="75">
        <f t="shared" si="17"/>
        <v>0</v>
      </c>
      <c r="S44" s="10">
        <f t="shared" si="17"/>
        <v>0</v>
      </c>
      <c r="T44" s="75">
        <f t="shared" si="18"/>
        <v>0</v>
      </c>
      <c r="U44" s="387"/>
    </row>
    <row r="45" spans="1:21" hidden="1" outlineLevel="1">
      <c r="A45" s="31"/>
      <c r="B45" s="19"/>
      <c r="C45" s="77">
        <f>+C18</f>
        <v>0</v>
      </c>
      <c r="D45" s="397">
        <v>0.318</v>
      </c>
      <c r="E45" s="397"/>
      <c r="F45" s="72"/>
      <c r="G45" s="72"/>
      <c r="H45" s="73">
        <f t="shared" si="19"/>
        <v>0</v>
      </c>
      <c r="I45" s="17">
        <f t="shared" si="20"/>
        <v>0</v>
      </c>
      <c r="J45" s="73">
        <f t="shared" si="21"/>
        <v>0</v>
      </c>
      <c r="K45" s="17">
        <f t="shared" si="22"/>
        <v>0</v>
      </c>
      <c r="L45" s="73">
        <f t="shared" si="23"/>
        <v>0</v>
      </c>
      <c r="M45" s="17">
        <f t="shared" si="24"/>
        <v>0</v>
      </c>
      <c r="N45" s="73">
        <f t="shared" si="25"/>
        <v>0</v>
      </c>
      <c r="O45" s="18">
        <f t="shared" si="26"/>
        <v>0</v>
      </c>
      <c r="P45" s="74">
        <f t="shared" si="27"/>
        <v>0</v>
      </c>
      <c r="Q45" s="18">
        <f t="shared" si="28"/>
        <v>0</v>
      </c>
      <c r="R45" s="75">
        <f t="shared" si="17"/>
        <v>0</v>
      </c>
      <c r="S45" s="10">
        <f t="shared" si="17"/>
        <v>0</v>
      </c>
      <c r="T45" s="75">
        <f t="shared" si="18"/>
        <v>0</v>
      </c>
      <c r="U45" s="387"/>
    </row>
    <row r="46" spans="1:21" hidden="1" outlineLevel="1">
      <c r="A46" s="31"/>
      <c r="B46" s="19"/>
      <c r="C46" s="77">
        <f>+C19</f>
        <v>0</v>
      </c>
      <c r="D46" s="397">
        <v>0.318</v>
      </c>
      <c r="E46" s="397"/>
      <c r="F46" s="72"/>
      <c r="G46" s="72"/>
      <c r="H46" s="73">
        <f t="shared" si="19"/>
        <v>0</v>
      </c>
      <c r="I46" s="17">
        <f t="shared" si="20"/>
        <v>0</v>
      </c>
      <c r="J46" s="73">
        <f t="shared" si="21"/>
        <v>0</v>
      </c>
      <c r="K46" s="17">
        <f t="shared" si="22"/>
        <v>0</v>
      </c>
      <c r="L46" s="73">
        <f t="shared" si="23"/>
        <v>0</v>
      </c>
      <c r="M46" s="17">
        <f t="shared" si="24"/>
        <v>0</v>
      </c>
      <c r="N46" s="73">
        <f t="shared" si="25"/>
        <v>0</v>
      </c>
      <c r="O46" s="18">
        <f t="shared" si="26"/>
        <v>0</v>
      </c>
      <c r="P46" s="74">
        <f t="shared" si="27"/>
        <v>0</v>
      </c>
      <c r="Q46" s="18">
        <f t="shared" si="28"/>
        <v>0</v>
      </c>
      <c r="R46" s="75">
        <f t="shared" si="17"/>
        <v>0</v>
      </c>
      <c r="S46" s="10">
        <f t="shared" si="17"/>
        <v>0</v>
      </c>
      <c r="T46" s="75">
        <f t="shared" si="18"/>
        <v>0</v>
      </c>
    </row>
    <row r="47" spans="1:21" hidden="1" outlineLevel="1">
      <c r="A47" s="31"/>
      <c r="B47" s="19"/>
      <c r="C47" s="77">
        <f>C20</f>
        <v>0</v>
      </c>
      <c r="D47" s="397">
        <v>0.318</v>
      </c>
      <c r="E47" s="397"/>
      <c r="F47" s="72"/>
      <c r="G47" s="72"/>
      <c r="H47" s="73">
        <f t="shared" si="19"/>
        <v>0</v>
      </c>
      <c r="I47" s="17">
        <f t="shared" si="20"/>
        <v>0</v>
      </c>
      <c r="J47" s="73">
        <f t="shared" si="21"/>
        <v>0</v>
      </c>
      <c r="K47" s="17">
        <f t="shared" si="22"/>
        <v>0</v>
      </c>
      <c r="L47" s="73">
        <f t="shared" si="23"/>
        <v>0</v>
      </c>
      <c r="M47" s="17">
        <f t="shared" si="24"/>
        <v>0</v>
      </c>
      <c r="N47" s="73">
        <f t="shared" si="25"/>
        <v>0</v>
      </c>
      <c r="O47" s="18">
        <f t="shared" si="26"/>
        <v>0</v>
      </c>
      <c r="P47" s="74">
        <f t="shared" si="27"/>
        <v>0</v>
      </c>
      <c r="Q47" s="18">
        <f t="shared" si="28"/>
        <v>0</v>
      </c>
      <c r="R47" s="75">
        <f t="shared" si="17"/>
        <v>0</v>
      </c>
      <c r="S47" s="10">
        <f t="shared" si="17"/>
        <v>0</v>
      </c>
      <c r="T47" s="75">
        <f t="shared" si="18"/>
        <v>0</v>
      </c>
    </row>
    <row r="48" spans="1:21" hidden="1" outlineLevel="1">
      <c r="A48" s="31"/>
      <c r="B48" s="19"/>
      <c r="C48" s="77">
        <f>C21</f>
        <v>0</v>
      </c>
      <c r="D48" s="397">
        <v>0.318</v>
      </c>
      <c r="E48" s="397"/>
      <c r="F48" s="72"/>
      <c r="G48" s="72"/>
      <c r="H48" s="73">
        <f t="shared" si="19"/>
        <v>0</v>
      </c>
      <c r="I48" s="17">
        <f>ROUND(D48*I21,0)</f>
        <v>0</v>
      </c>
      <c r="J48" s="73">
        <f t="shared" si="21"/>
        <v>0</v>
      </c>
      <c r="K48" s="17">
        <f t="shared" si="22"/>
        <v>0</v>
      </c>
      <c r="L48" s="73">
        <f t="shared" si="23"/>
        <v>0</v>
      </c>
      <c r="M48" s="17">
        <f t="shared" si="24"/>
        <v>0</v>
      </c>
      <c r="N48" s="73">
        <f t="shared" si="25"/>
        <v>0</v>
      </c>
      <c r="O48" s="18">
        <f t="shared" si="26"/>
        <v>0</v>
      </c>
      <c r="P48" s="74">
        <f t="shared" si="27"/>
        <v>0</v>
      </c>
      <c r="Q48" s="18">
        <f t="shared" si="28"/>
        <v>0</v>
      </c>
      <c r="R48" s="75">
        <f t="shared" si="17"/>
        <v>0</v>
      </c>
      <c r="S48" s="10">
        <f t="shared" si="17"/>
        <v>0</v>
      </c>
      <c r="T48" s="75">
        <f t="shared" si="18"/>
        <v>0</v>
      </c>
    </row>
    <row r="49" spans="1:21" hidden="1" outlineLevel="1">
      <c r="A49" s="31"/>
      <c r="B49" s="19"/>
      <c r="C49" s="77">
        <f>C22</f>
        <v>0</v>
      </c>
      <c r="D49" s="397">
        <v>0.318</v>
      </c>
      <c r="E49" s="397"/>
      <c r="F49" s="72"/>
      <c r="G49" s="72"/>
      <c r="H49" s="73">
        <f t="shared" si="19"/>
        <v>0</v>
      </c>
      <c r="I49" s="17">
        <f t="shared" si="20"/>
        <v>0</v>
      </c>
      <c r="J49" s="73">
        <f t="shared" si="21"/>
        <v>0</v>
      </c>
      <c r="K49" s="17">
        <f t="shared" si="22"/>
        <v>0</v>
      </c>
      <c r="L49" s="73">
        <f t="shared" si="23"/>
        <v>0</v>
      </c>
      <c r="M49" s="17">
        <f t="shared" si="24"/>
        <v>0</v>
      </c>
      <c r="N49" s="73">
        <f t="shared" si="25"/>
        <v>0</v>
      </c>
      <c r="O49" s="18">
        <f t="shared" si="26"/>
        <v>0</v>
      </c>
      <c r="P49" s="74">
        <f t="shared" si="27"/>
        <v>0</v>
      </c>
      <c r="Q49" s="18">
        <f t="shared" si="28"/>
        <v>0</v>
      </c>
      <c r="R49" s="75">
        <f t="shared" si="17"/>
        <v>0</v>
      </c>
      <c r="S49" s="10">
        <f t="shared" si="17"/>
        <v>0</v>
      </c>
      <c r="T49" s="75">
        <f t="shared" si="18"/>
        <v>0</v>
      </c>
    </row>
    <row r="50" spans="1:21" hidden="1" outlineLevel="1">
      <c r="A50" s="31"/>
      <c r="B50" s="19"/>
      <c r="C50" s="77">
        <f>C23</f>
        <v>0</v>
      </c>
      <c r="D50" s="397">
        <v>0.318</v>
      </c>
      <c r="E50" s="397"/>
      <c r="F50" s="72"/>
      <c r="G50" s="72"/>
      <c r="H50" s="73">
        <f t="shared" si="19"/>
        <v>0</v>
      </c>
      <c r="I50" s="17">
        <f t="shared" si="20"/>
        <v>0</v>
      </c>
      <c r="J50" s="73">
        <f t="shared" si="21"/>
        <v>0</v>
      </c>
      <c r="K50" s="17">
        <f t="shared" si="22"/>
        <v>0</v>
      </c>
      <c r="L50" s="73">
        <f t="shared" si="23"/>
        <v>0</v>
      </c>
      <c r="M50" s="17">
        <f t="shared" si="24"/>
        <v>0</v>
      </c>
      <c r="N50" s="73">
        <f t="shared" si="25"/>
        <v>0</v>
      </c>
      <c r="O50" s="18">
        <f t="shared" si="26"/>
        <v>0</v>
      </c>
      <c r="P50" s="74">
        <f t="shared" si="27"/>
        <v>0</v>
      </c>
      <c r="Q50" s="18">
        <f t="shared" si="28"/>
        <v>0</v>
      </c>
      <c r="R50" s="75">
        <f>SUM(H50+J50+L50+N50+P50)</f>
        <v>0</v>
      </c>
      <c r="S50" s="10">
        <f t="shared" si="17"/>
        <v>0</v>
      </c>
      <c r="T50" s="75">
        <f t="shared" si="18"/>
        <v>0</v>
      </c>
    </row>
    <row r="51" spans="1:21" hidden="1" outlineLevel="1">
      <c r="A51" s="31"/>
      <c r="B51" s="19"/>
      <c r="C51" s="77" t="str">
        <f t="shared" ref="C51:C56" si="29">+C26</f>
        <v>Post Doc</v>
      </c>
      <c r="D51" s="397">
        <v>0.36699999999999999</v>
      </c>
      <c r="E51" s="397"/>
      <c r="F51" s="72"/>
      <c r="G51" s="72"/>
      <c r="H51" s="73">
        <f>ROUND(D51*H26,0)</f>
        <v>0</v>
      </c>
      <c r="I51" s="17">
        <f>ROUND(D51*I26,0)</f>
        <v>0</v>
      </c>
      <c r="J51" s="73">
        <f>ROUND(D51*J26,0)</f>
        <v>0</v>
      </c>
      <c r="K51" s="17">
        <f>ROUND(D51*K26,0)</f>
        <v>0</v>
      </c>
      <c r="L51" s="73">
        <f>ROUND(D51*L26,0)</f>
        <v>0</v>
      </c>
      <c r="M51" s="17">
        <f>ROUND(D51*M26,0)</f>
        <v>0</v>
      </c>
      <c r="N51" s="73">
        <f>ROUND(D51*N26,0)</f>
        <v>0</v>
      </c>
      <c r="O51" s="18">
        <f>ROUND(D51*O26,0)</f>
        <v>0</v>
      </c>
      <c r="P51" s="74">
        <f>ROUND(D51*P26,0)</f>
        <v>0</v>
      </c>
      <c r="Q51" s="18">
        <f>ROUND(D51*Q26,0)</f>
        <v>0</v>
      </c>
      <c r="R51" s="75">
        <f>SUM(H51+J51+L51+N51+P51)</f>
        <v>0</v>
      </c>
      <c r="S51" s="10">
        <f t="shared" si="17"/>
        <v>0</v>
      </c>
      <c r="T51" s="75">
        <f t="shared" si="18"/>
        <v>0</v>
      </c>
    </row>
    <row r="52" spans="1:21" hidden="1" outlineLevel="1">
      <c r="A52" s="31"/>
      <c r="B52" s="19"/>
      <c r="C52" s="77" t="str">
        <f t="shared" si="29"/>
        <v>Post Doc</v>
      </c>
      <c r="D52" s="397">
        <v>0.36699999999999999</v>
      </c>
      <c r="E52" s="397"/>
      <c r="F52" s="72"/>
      <c r="G52" s="72"/>
      <c r="H52" s="73">
        <f>ROUND(D52*H27,0)</f>
        <v>0</v>
      </c>
      <c r="I52" s="17">
        <f t="shared" ref="I52:I62" si="30">ROUND(D52*I27,0)</f>
        <v>0</v>
      </c>
      <c r="J52" s="73">
        <f t="shared" ref="J52:J62" si="31">ROUND(D52*J27,0)</f>
        <v>0</v>
      </c>
      <c r="K52" s="17">
        <f t="shared" ref="K52:K62" si="32">ROUND(D52*K27,0)</f>
        <v>0</v>
      </c>
      <c r="L52" s="73">
        <f t="shared" ref="L52:L62" si="33">ROUND(D52*L27,0)</f>
        <v>0</v>
      </c>
      <c r="M52" s="17">
        <f t="shared" ref="M52:M62" si="34">ROUND(D52*M27,0)</f>
        <v>0</v>
      </c>
      <c r="N52" s="73">
        <f t="shared" ref="N52:N62" si="35">ROUND(D52*N27,0)</f>
        <v>0</v>
      </c>
      <c r="O52" s="18">
        <f t="shared" ref="O52:O62" si="36">ROUND(D52*O27,0)</f>
        <v>0</v>
      </c>
      <c r="P52" s="74">
        <f t="shared" ref="P52:P62" si="37">ROUND(D52*P27,0)</f>
        <v>0</v>
      </c>
      <c r="Q52" s="18">
        <f t="shared" ref="Q52:Q62" si="38">ROUND(D52*Q27,0)</f>
        <v>0</v>
      </c>
      <c r="R52" s="75">
        <f t="shared" si="17"/>
        <v>0</v>
      </c>
      <c r="S52" s="10">
        <f t="shared" si="17"/>
        <v>0</v>
      </c>
      <c r="T52" s="75">
        <f t="shared" si="18"/>
        <v>0</v>
      </c>
    </row>
    <row r="53" spans="1:21" ht="15.75" customHeight="1" collapsed="1">
      <c r="A53" s="31"/>
      <c r="B53" s="19"/>
      <c r="C53" s="55" t="str">
        <f t="shared" si="29"/>
        <v>Research Asst-Halftime</v>
      </c>
      <c r="D53" s="397">
        <v>0.152</v>
      </c>
      <c r="E53" s="397"/>
      <c r="F53" s="397"/>
      <c r="G53" s="72"/>
      <c r="H53" s="73">
        <f>ROUND(D53*H28,0)</f>
        <v>4560</v>
      </c>
      <c r="I53" s="17">
        <f t="shared" si="30"/>
        <v>0</v>
      </c>
      <c r="J53" s="73">
        <f t="shared" si="31"/>
        <v>4697</v>
      </c>
      <c r="K53" s="17">
        <f t="shared" si="32"/>
        <v>0</v>
      </c>
      <c r="L53" s="73">
        <f t="shared" si="33"/>
        <v>4838</v>
      </c>
      <c r="M53" s="17">
        <f t="shared" si="34"/>
        <v>0</v>
      </c>
      <c r="N53" s="73">
        <f t="shared" si="35"/>
        <v>0</v>
      </c>
      <c r="O53" s="18">
        <f t="shared" si="36"/>
        <v>0</v>
      </c>
      <c r="P53" s="74">
        <f t="shared" si="37"/>
        <v>0</v>
      </c>
      <c r="Q53" s="18">
        <f t="shared" si="38"/>
        <v>0</v>
      </c>
      <c r="R53" s="75">
        <f t="shared" si="17"/>
        <v>14095</v>
      </c>
      <c r="S53" s="10">
        <f t="shared" si="17"/>
        <v>0</v>
      </c>
      <c r="T53" s="75">
        <f t="shared" si="18"/>
        <v>14095</v>
      </c>
    </row>
    <row r="54" spans="1:21" ht="15.75" customHeight="1">
      <c r="A54" s="31"/>
      <c r="B54" s="19"/>
      <c r="C54" s="77" t="str">
        <f t="shared" si="29"/>
        <v>Research Asst-Halftime</v>
      </c>
      <c r="D54" s="397">
        <v>0.152</v>
      </c>
      <c r="E54" s="397"/>
      <c r="F54" s="72"/>
      <c r="G54" s="55"/>
      <c r="H54" s="73">
        <f t="shared" ref="H54:H60" si="39">ROUND(D54*H29,0)</f>
        <v>1710</v>
      </c>
      <c r="I54" s="17">
        <f t="shared" si="30"/>
        <v>0</v>
      </c>
      <c r="J54" s="73">
        <f t="shared" si="31"/>
        <v>1761</v>
      </c>
      <c r="K54" s="17">
        <f t="shared" si="32"/>
        <v>0</v>
      </c>
      <c r="L54" s="73">
        <f t="shared" si="33"/>
        <v>1814</v>
      </c>
      <c r="M54" s="17">
        <f t="shared" si="34"/>
        <v>0</v>
      </c>
      <c r="N54" s="73">
        <f t="shared" si="35"/>
        <v>0</v>
      </c>
      <c r="O54" s="18">
        <f t="shared" si="36"/>
        <v>0</v>
      </c>
      <c r="P54" s="74">
        <f t="shared" si="37"/>
        <v>0</v>
      </c>
      <c r="Q54" s="18">
        <f t="shared" si="38"/>
        <v>0</v>
      </c>
      <c r="R54" s="75">
        <f t="shared" si="17"/>
        <v>5285</v>
      </c>
      <c r="S54" s="10">
        <f t="shared" si="17"/>
        <v>0</v>
      </c>
      <c r="T54" s="75">
        <f t="shared" si="18"/>
        <v>5285</v>
      </c>
    </row>
    <row r="55" spans="1:21" ht="15.75" customHeight="1">
      <c r="A55" s="31"/>
      <c r="B55" s="19"/>
      <c r="C55" s="77" t="str">
        <f t="shared" si="29"/>
        <v>Hourly Undergraduate student</v>
      </c>
      <c r="D55" s="397">
        <v>1.7999999999999999E-2</v>
      </c>
      <c r="E55" s="397"/>
      <c r="F55" s="72"/>
      <c r="G55" s="55"/>
      <c r="H55" s="73">
        <f t="shared" si="39"/>
        <v>207</v>
      </c>
      <c r="I55" s="17">
        <f t="shared" si="30"/>
        <v>0</v>
      </c>
      <c r="J55" s="73">
        <f t="shared" si="31"/>
        <v>214</v>
      </c>
      <c r="K55" s="17">
        <f t="shared" si="32"/>
        <v>0</v>
      </c>
      <c r="L55" s="73">
        <f t="shared" si="33"/>
        <v>220</v>
      </c>
      <c r="M55" s="17">
        <f t="shared" si="34"/>
        <v>0</v>
      </c>
      <c r="N55" s="73">
        <f t="shared" si="35"/>
        <v>0</v>
      </c>
      <c r="O55" s="18">
        <f t="shared" si="36"/>
        <v>0</v>
      </c>
      <c r="P55" s="74">
        <f t="shared" si="37"/>
        <v>0</v>
      </c>
      <c r="Q55" s="18">
        <f t="shared" si="38"/>
        <v>0</v>
      </c>
      <c r="R55" s="75">
        <f t="shared" si="17"/>
        <v>641</v>
      </c>
      <c r="S55" s="10">
        <f t="shared" si="17"/>
        <v>0</v>
      </c>
      <c r="T55" s="75">
        <f t="shared" si="18"/>
        <v>641</v>
      </c>
    </row>
    <row r="56" spans="1:21" ht="15.75" hidden="1" customHeight="1" outlineLevel="1">
      <c r="A56" s="31"/>
      <c r="B56" s="19"/>
      <c r="C56" s="77" t="str">
        <f t="shared" si="29"/>
        <v>Hourly Undergraduate student</v>
      </c>
      <c r="D56" s="78">
        <v>1.7999999999999999E-2</v>
      </c>
      <c r="E56" s="78"/>
      <c r="F56" s="55"/>
      <c r="G56" s="55"/>
      <c r="H56" s="73">
        <f t="shared" si="39"/>
        <v>0</v>
      </c>
      <c r="I56" s="17">
        <f t="shared" si="30"/>
        <v>0</v>
      </c>
      <c r="J56" s="73">
        <f t="shared" si="31"/>
        <v>0</v>
      </c>
      <c r="K56" s="17">
        <f t="shared" si="32"/>
        <v>0</v>
      </c>
      <c r="L56" s="73">
        <f t="shared" si="33"/>
        <v>0</v>
      </c>
      <c r="M56" s="17">
        <f t="shared" si="34"/>
        <v>0</v>
      </c>
      <c r="N56" s="73">
        <f t="shared" si="35"/>
        <v>0</v>
      </c>
      <c r="O56" s="18">
        <f t="shared" si="36"/>
        <v>0</v>
      </c>
      <c r="P56" s="74">
        <f t="shared" si="37"/>
        <v>0</v>
      </c>
      <c r="Q56" s="18">
        <f t="shared" si="38"/>
        <v>0</v>
      </c>
      <c r="R56" s="75">
        <f t="shared" si="17"/>
        <v>0</v>
      </c>
      <c r="S56" s="10">
        <f t="shared" si="17"/>
        <v>0</v>
      </c>
      <c r="T56" s="75">
        <f t="shared" si="18"/>
        <v>0</v>
      </c>
    </row>
    <row r="57" spans="1:21" ht="15.75" customHeight="1" collapsed="1">
      <c r="A57" s="31"/>
      <c r="B57" s="19"/>
      <c r="C57" s="77" t="str">
        <f t="shared" ref="C57:C62" si="40">+C32</f>
        <v>Daryl Herzmann</v>
      </c>
      <c r="D57" s="78">
        <v>0.40500000000000003</v>
      </c>
      <c r="E57" s="78"/>
      <c r="F57" s="55"/>
      <c r="G57" s="55"/>
      <c r="H57" s="73">
        <f t="shared" si="39"/>
        <v>3359</v>
      </c>
      <c r="I57" s="17">
        <f t="shared" si="30"/>
        <v>0</v>
      </c>
      <c r="J57" s="73">
        <f>ROUND(D57*J32,0)</f>
        <v>3460</v>
      </c>
      <c r="K57" s="17">
        <f t="shared" si="32"/>
        <v>0</v>
      </c>
      <c r="L57" s="73">
        <f t="shared" si="33"/>
        <v>3563</v>
      </c>
      <c r="M57" s="17">
        <f t="shared" si="34"/>
        <v>0</v>
      </c>
      <c r="N57" s="73">
        <f t="shared" si="35"/>
        <v>0</v>
      </c>
      <c r="O57" s="18">
        <f t="shared" si="36"/>
        <v>0</v>
      </c>
      <c r="P57" s="74">
        <f t="shared" si="37"/>
        <v>0</v>
      </c>
      <c r="Q57" s="18">
        <f t="shared" si="38"/>
        <v>0</v>
      </c>
      <c r="R57" s="75">
        <f t="shared" si="17"/>
        <v>10382</v>
      </c>
      <c r="S57" s="10">
        <f t="shared" si="17"/>
        <v>0</v>
      </c>
      <c r="T57" s="75">
        <f t="shared" si="18"/>
        <v>10382</v>
      </c>
      <c r="U57" s="387"/>
    </row>
    <row r="58" spans="1:21" ht="15.75" hidden="1" customHeight="1" outlineLevel="1">
      <c r="A58" s="31"/>
      <c r="B58" s="19"/>
      <c r="C58" s="77" t="str">
        <f t="shared" si="40"/>
        <v>P&amp;S</v>
      </c>
      <c r="D58" s="78">
        <v>0.40500000000000003</v>
      </c>
      <c r="E58" s="78"/>
      <c r="F58" s="55"/>
      <c r="G58" s="55"/>
      <c r="H58" s="73">
        <f t="shared" si="39"/>
        <v>0</v>
      </c>
      <c r="I58" s="17">
        <f t="shared" si="30"/>
        <v>0</v>
      </c>
      <c r="J58" s="73">
        <f t="shared" si="31"/>
        <v>0</v>
      </c>
      <c r="K58" s="17">
        <f t="shared" si="32"/>
        <v>0</v>
      </c>
      <c r="L58" s="73">
        <f t="shared" si="33"/>
        <v>0</v>
      </c>
      <c r="M58" s="17">
        <f t="shared" si="34"/>
        <v>0</v>
      </c>
      <c r="N58" s="73">
        <f t="shared" si="35"/>
        <v>0</v>
      </c>
      <c r="O58" s="18">
        <f t="shared" si="36"/>
        <v>0</v>
      </c>
      <c r="P58" s="74">
        <f t="shared" si="37"/>
        <v>0</v>
      </c>
      <c r="Q58" s="18">
        <f t="shared" si="38"/>
        <v>0</v>
      </c>
      <c r="R58" s="75">
        <f t="shared" si="17"/>
        <v>0</v>
      </c>
      <c r="S58" s="10">
        <f t="shared" si="17"/>
        <v>0</v>
      </c>
      <c r="T58" s="75">
        <f t="shared" si="18"/>
        <v>0</v>
      </c>
      <c r="U58" s="387"/>
    </row>
    <row r="59" spans="1:21" ht="15.75" hidden="1" customHeight="1" outlineLevel="1">
      <c r="A59" s="31"/>
      <c r="B59" s="19"/>
      <c r="C59" s="77" t="str">
        <f t="shared" si="40"/>
        <v>Secretarial/Clerical</v>
      </c>
      <c r="D59" s="78">
        <v>0.501</v>
      </c>
      <c r="E59" s="78"/>
      <c r="F59" s="55"/>
      <c r="G59" s="55"/>
      <c r="H59" s="73">
        <f t="shared" si="39"/>
        <v>0</v>
      </c>
      <c r="I59" s="17">
        <f t="shared" si="30"/>
        <v>0</v>
      </c>
      <c r="J59" s="73">
        <f t="shared" si="31"/>
        <v>0</v>
      </c>
      <c r="K59" s="17">
        <f t="shared" si="32"/>
        <v>0</v>
      </c>
      <c r="L59" s="73">
        <f t="shared" si="33"/>
        <v>0</v>
      </c>
      <c r="M59" s="17">
        <f t="shared" si="34"/>
        <v>0</v>
      </c>
      <c r="N59" s="73">
        <f t="shared" si="35"/>
        <v>0</v>
      </c>
      <c r="O59" s="18">
        <f t="shared" si="36"/>
        <v>0</v>
      </c>
      <c r="P59" s="74">
        <f t="shared" si="37"/>
        <v>0</v>
      </c>
      <c r="Q59" s="18">
        <f t="shared" si="38"/>
        <v>0</v>
      </c>
      <c r="R59" s="75">
        <f t="shared" si="17"/>
        <v>0</v>
      </c>
      <c r="S59" s="10">
        <f t="shared" si="17"/>
        <v>0</v>
      </c>
      <c r="T59" s="75">
        <f t="shared" si="18"/>
        <v>0</v>
      </c>
      <c r="U59" s="387"/>
    </row>
    <row r="60" spans="1:21" ht="15.75" hidden="1" customHeight="1" outlineLevel="1">
      <c r="A60" s="31"/>
      <c r="B60" s="19"/>
      <c r="C60" s="77" t="str">
        <f t="shared" si="40"/>
        <v>Secretarial/Clerical</v>
      </c>
      <c r="D60" s="78">
        <v>0.501</v>
      </c>
      <c r="E60" s="78"/>
      <c r="F60" s="55"/>
      <c r="G60" s="55"/>
      <c r="H60" s="73">
        <f t="shared" si="39"/>
        <v>0</v>
      </c>
      <c r="I60" s="17">
        <f t="shared" si="30"/>
        <v>0</v>
      </c>
      <c r="J60" s="73">
        <f t="shared" si="31"/>
        <v>0</v>
      </c>
      <c r="K60" s="17">
        <f t="shared" si="32"/>
        <v>0</v>
      </c>
      <c r="L60" s="73">
        <f t="shared" si="33"/>
        <v>0</v>
      </c>
      <c r="M60" s="17">
        <f t="shared" si="34"/>
        <v>0</v>
      </c>
      <c r="N60" s="73">
        <f t="shared" si="35"/>
        <v>0</v>
      </c>
      <c r="O60" s="18">
        <f t="shared" si="36"/>
        <v>0</v>
      </c>
      <c r="P60" s="74">
        <f t="shared" si="37"/>
        <v>0</v>
      </c>
      <c r="Q60" s="18">
        <f t="shared" si="38"/>
        <v>0</v>
      </c>
      <c r="R60" s="75">
        <f t="shared" si="17"/>
        <v>0</v>
      </c>
      <c r="S60" s="10">
        <f t="shared" si="17"/>
        <v>0</v>
      </c>
      <c r="T60" s="75">
        <f t="shared" si="18"/>
        <v>0</v>
      </c>
      <c r="U60" s="387"/>
    </row>
    <row r="61" spans="1:21" ht="15.75" hidden="1" customHeight="1" outlineLevel="1">
      <c r="A61" s="31"/>
      <c r="B61" s="19"/>
      <c r="C61" s="77" t="str">
        <f t="shared" si="40"/>
        <v>Non-Student Hourly</v>
      </c>
      <c r="D61" s="78">
        <v>0.124</v>
      </c>
      <c r="E61" s="78"/>
      <c r="F61" s="55"/>
      <c r="G61" s="55"/>
      <c r="H61" s="73">
        <f>ROUND(D61*H36,0)</f>
        <v>0</v>
      </c>
      <c r="I61" s="17">
        <f t="shared" si="30"/>
        <v>0</v>
      </c>
      <c r="J61" s="73">
        <f t="shared" si="31"/>
        <v>0</v>
      </c>
      <c r="K61" s="17">
        <f t="shared" si="32"/>
        <v>0</v>
      </c>
      <c r="L61" s="73">
        <f t="shared" si="33"/>
        <v>0</v>
      </c>
      <c r="M61" s="17">
        <f t="shared" si="34"/>
        <v>0</v>
      </c>
      <c r="N61" s="73">
        <f t="shared" si="35"/>
        <v>0</v>
      </c>
      <c r="O61" s="18">
        <f t="shared" si="36"/>
        <v>0</v>
      </c>
      <c r="P61" s="74">
        <f t="shared" si="37"/>
        <v>0</v>
      </c>
      <c r="Q61" s="18">
        <f t="shared" si="38"/>
        <v>0</v>
      </c>
      <c r="R61" s="75">
        <f t="shared" si="17"/>
        <v>0</v>
      </c>
      <c r="S61" s="10">
        <f t="shared" si="17"/>
        <v>0</v>
      </c>
      <c r="T61" s="75">
        <f t="shared" si="18"/>
        <v>0</v>
      </c>
      <c r="U61" s="387"/>
    </row>
    <row r="62" spans="1:21" ht="15.75" hidden="1" customHeight="1" outlineLevel="1">
      <c r="A62" s="31"/>
      <c r="B62" s="19"/>
      <c r="C62" s="77" t="str">
        <f t="shared" si="40"/>
        <v>Non-Student Hourly</v>
      </c>
      <c r="D62" s="78">
        <v>0.124</v>
      </c>
      <c r="E62" s="78"/>
      <c r="F62" s="55"/>
      <c r="G62" s="55"/>
      <c r="H62" s="73">
        <f>ROUND(D62*H37,0)</f>
        <v>0</v>
      </c>
      <c r="I62" s="17">
        <f t="shared" si="30"/>
        <v>0</v>
      </c>
      <c r="J62" s="73">
        <f t="shared" si="31"/>
        <v>0</v>
      </c>
      <c r="K62" s="17">
        <f t="shared" si="32"/>
        <v>0</v>
      </c>
      <c r="L62" s="73">
        <f t="shared" si="33"/>
        <v>0</v>
      </c>
      <c r="M62" s="17">
        <f t="shared" si="34"/>
        <v>0</v>
      </c>
      <c r="N62" s="73">
        <f t="shared" si="35"/>
        <v>0</v>
      </c>
      <c r="O62" s="18">
        <f t="shared" si="36"/>
        <v>0</v>
      </c>
      <c r="P62" s="74">
        <f t="shared" si="37"/>
        <v>0</v>
      </c>
      <c r="Q62" s="18">
        <f t="shared" si="38"/>
        <v>0</v>
      </c>
      <c r="R62" s="75">
        <f t="shared" si="17"/>
        <v>0</v>
      </c>
      <c r="S62" s="10">
        <f t="shared" si="17"/>
        <v>0</v>
      </c>
      <c r="T62" s="75">
        <f t="shared" si="18"/>
        <v>0</v>
      </c>
      <c r="U62" s="387"/>
    </row>
    <row r="63" spans="1:21" collapsed="1">
      <c r="A63" s="19"/>
      <c r="B63" s="19"/>
      <c r="C63" s="31"/>
      <c r="D63" s="38"/>
      <c r="E63" s="38"/>
      <c r="F63" s="19"/>
      <c r="G63" s="19"/>
      <c r="H63" s="35"/>
      <c r="I63" s="35"/>
      <c r="J63" s="35"/>
      <c r="K63" s="35"/>
      <c r="L63" s="35"/>
      <c r="M63" s="35"/>
      <c r="N63" s="35"/>
      <c r="O63" s="35"/>
      <c r="P63" s="35"/>
      <c r="Q63" s="35"/>
      <c r="R63" s="12"/>
      <c r="S63" s="12"/>
      <c r="T63" s="15"/>
      <c r="U63" s="387"/>
    </row>
    <row r="64" spans="1:21" s="6" customFormat="1" ht="15.6">
      <c r="A64" s="22"/>
      <c r="B64" s="22"/>
      <c r="C64" s="39" t="s">
        <v>62</v>
      </c>
      <c r="D64" s="40"/>
      <c r="E64" s="40"/>
      <c r="F64" s="41"/>
      <c r="G64" s="22"/>
      <c r="H64" s="29">
        <f>H39+H41</f>
        <v>94554.164166666669</v>
      </c>
      <c r="I64" s="85">
        <f>I39+I41</f>
        <v>0</v>
      </c>
      <c r="J64" s="86">
        <f t="shared" ref="J64:Q64" si="41">J39+J41</f>
        <v>97393</v>
      </c>
      <c r="K64" s="85">
        <f t="shared" si="41"/>
        <v>0</v>
      </c>
      <c r="L64" s="86">
        <f t="shared" si="41"/>
        <v>100315</v>
      </c>
      <c r="M64" s="85">
        <f t="shared" si="41"/>
        <v>0</v>
      </c>
      <c r="N64" s="86">
        <f t="shared" si="41"/>
        <v>0</v>
      </c>
      <c r="O64" s="85">
        <f t="shared" si="41"/>
        <v>0</v>
      </c>
      <c r="P64" s="86">
        <f t="shared" si="41"/>
        <v>0</v>
      </c>
      <c r="Q64" s="85">
        <f t="shared" si="41"/>
        <v>0</v>
      </c>
      <c r="R64" s="87">
        <f>SUM(H64+J64+L64+N64+P64)</f>
        <v>292262.16416666668</v>
      </c>
      <c r="S64" s="9">
        <f>SUM(I64+K64+M64+O64+Q64)</f>
        <v>0</v>
      </c>
      <c r="T64" s="88">
        <f>SUM(R64+S64)</f>
        <v>292262.16416666668</v>
      </c>
      <c r="U64" s="386"/>
    </row>
    <row r="65" spans="1:21" ht="15.6">
      <c r="A65" s="32"/>
      <c r="B65" s="32"/>
      <c r="C65" s="42"/>
      <c r="D65" s="43"/>
      <c r="E65" s="43"/>
      <c r="F65" s="44"/>
      <c r="G65" s="32"/>
      <c r="H65" s="45"/>
      <c r="I65" s="45"/>
      <c r="J65" s="45"/>
      <c r="K65" s="45"/>
      <c r="L65" s="45"/>
      <c r="M65" s="45"/>
      <c r="N65" s="45"/>
      <c r="O65" s="45"/>
      <c r="P65" s="45"/>
      <c r="Q65" s="45"/>
      <c r="R65" s="16"/>
      <c r="S65" s="16"/>
      <c r="T65" s="16"/>
      <c r="U65" s="6"/>
    </row>
    <row r="66" spans="1:21" ht="15.6">
      <c r="A66" s="40" t="s">
        <v>63</v>
      </c>
      <c r="B66" s="19"/>
      <c r="C66" s="39" t="s">
        <v>64</v>
      </c>
      <c r="D66" s="47"/>
      <c r="E66" s="47"/>
      <c r="F66" s="30"/>
      <c r="G66" s="19"/>
      <c r="H66" s="26">
        <f t="shared" ref="H66:Q66" si="42">SUM(H67:H68)</f>
        <v>0</v>
      </c>
      <c r="I66" s="27">
        <f t="shared" si="42"/>
        <v>0</v>
      </c>
      <c r="J66" s="26">
        <f t="shared" si="42"/>
        <v>0</v>
      </c>
      <c r="K66" s="27">
        <f t="shared" si="42"/>
        <v>0</v>
      </c>
      <c r="L66" s="26">
        <f t="shared" si="42"/>
        <v>0</v>
      </c>
      <c r="M66" s="27">
        <f t="shared" si="42"/>
        <v>0</v>
      </c>
      <c r="N66" s="26">
        <f t="shared" si="42"/>
        <v>0</v>
      </c>
      <c r="O66" s="27">
        <f t="shared" si="42"/>
        <v>0</v>
      </c>
      <c r="P66" s="26">
        <f t="shared" si="42"/>
        <v>0</v>
      </c>
      <c r="Q66" s="27">
        <f t="shared" si="42"/>
        <v>0</v>
      </c>
      <c r="R66" s="8">
        <f t="shared" ref="R66:S68" si="43">SUM(H66+J66+L66+N66+P66)</f>
        <v>0</v>
      </c>
      <c r="S66" s="9">
        <f t="shared" si="43"/>
        <v>0</v>
      </c>
      <c r="T66" s="8">
        <f>SUM(R66+S66)</f>
        <v>0</v>
      </c>
    </row>
    <row r="67" spans="1:21" ht="12.95" hidden="1" outlineLevel="1">
      <c r="A67" s="50"/>
      <c r="B67" s="32"/>
      <c r="C67" s="77">
        <v>1</v>
      </c>
      <c r="D67" s="79"/>
      <c r="E67" s="79"/>
      <c r="F67" s="72"/>
      <c r="G67" s="55"/>
      <c r="H67" s="73">
        <v>0</v>
      </c>
      <c r="I67" s="49"/>
      <c r="J67" s="73">
        <v>0</v>
      </c>
      <c r="K67" s="49"/>
      <c r="L67" s="73">
        <v>0</v>
      </c>
      <c r="M67" s="49"/>
      <c r="N67" s="73">
        <v>0</v>
      </c>
      <c r="O67" s="49"/>
      <c r="P67" s="73">
        <v>0</v>
      </c>
      <c r="Q67" s="49"/>
      <c r="R67" s="75">
        <f t="shared" si="43"/>
        <v>0</v>
      </c>
      <c r="S67" s="10">
        <f t="shared" si="43"/>
        <v>0</v>
      </c>
      <c r="T67" s="75">
        <f>SUM(R67+S67)</f>
        <v>0</v>
      </c>
    </row>
    <row r="68" spans="1:21" ht="12.95" hidden="1" outlineLevel="1">
      <c r="A68" s="50"/>
      <c r="B68" s="32"/>
      <c r="C68" s="77">
        <v>2</v>
      </c>
      <c r="D68" s="80"/>
      <c r="E68" s="80"/>
      <c r="F68" s="72"/>
      <c r="G68" s="55"/>
      <c r="H68" s="73">
        <v>0</v>
      </c>
      <c r="I68" s="49"/>
      <c r="J68" s="73">
        <v>0</v>
      </c>
      <c r="K68" s="49"/>
      <c r="L68" s="73">
        <v>0</v>
      </c>
      <c r="M68" s="49"/>
      <c r="N68" s="73">
        <v>0</v>
      </c>
      <c r="O68" s="49"/>
      <c r="P68" s="73">
        <v>0</v>
      </c>
      <c r="Q68" s="49"/>
      <c r="R68" s="75">
        <f t="shared" si="43"/>
        <v>0</v>
      </c>
      <c r="S68" s="10">
        <f t="shared" si="43"/>
        <v>0</v>
      </c>
      <c r="T68" s="75">
        <f>SUM(R68+S68)</f>
        <v>0</v>
      </c>
    </row>
    <row r="69" spans="1:21" hidden="1" outlineLevel="1">
      <c r="A69" s="32"/>
      <c r="B69" s="32"/>
      <c r="C69" s="50"/>
      <c r="D69" s="32"/>
      <c r="E69" s="32"/>
      <c r="F69" s="32"/>
      <c r="G69" s="32"/>
      <c r="H69" s="35"/>
      <c r="I69" s="35"/>
      <c r="J69" s="35"/>
      <c r="K69" s="35"/>
      <c r="L69" s="35"/>
      <c r="M69" s="35"/>
      <c r="N69" s="35"/>
      <c r="O69" s="35"/>
      <c r="P69" s="35"/>
      <c r="Q69" s="35"/>
      <c r="R69" s="16"/>
      <c r="S69" s="16"/>
      <c r="T69" s="16"/>
    </row>
    <row r="70" spans="1:21" ht="15.6" collapsed="1">
      <c r="A70" s="40" t="s">
        <v>65</v>
      </c>
      <c r="B70" s="21"/>
      <c r="C70" s="39" t="s">
        <v>66</v>
      </c>
      <c r="D70" s="24"/>
      <c r="E70" s="24"/>
      <c r="F70" s="24"/>
      <c r="G70" s="24"/>
      <c r="H70" s="26">
        <f t="shared" ref="H70:Q70" si="44">SUM(H71:H72)</f>
        <v>4330</v>
      </c>
      <c r="I70" s="27">
        <f t="shared" si="44"/>
        <v>0</v>
      </c>
      <c r="J70" s="26">
        <f t="shared" si="44"/>
        <v>4410</v>
      </c>
      <c r="K70" s="27">
        <f t="shared" si="44"/>
        <v>0</v>
      </c>
      <c r="L70" s="26">
        <f t="shared" si="44"/>
        <v>4534</v>
      </c>
      <c r="M70" s="27">
        <f t="shared" si="44"/>
        <v>0</v>
      </c>
      <c r="N70" s="26">
        <f t="shared" si="44"/>
        <v>0</v>
      </c>
      <c r="O70" s="28">
        <f t="shared" si="44"/>
        <v>0</v>
      </c>
      <c r="P70" s="29">
        <f t="shared" si="44"/>
        <v>0</v>
      </c>
      <c r="Q70" s="28">
        <f t="shared" si="44"/>
        <v>0</v>
      </c>
      <c r="R70" s="8">
        <f>SUM(H70+J70+L70+N70+P70)</f>
        <v>13274</v>
      </c>
      <c r="S70" s="9">
        <f t="shared" ref="R70:S72" si="45">SUM(I70+K70+M70+O70+Q70)</f>
        <v>0</v>
      </c>
      <c r="T70" s="8">
        <f>SUM(R70+S70)</f>
        <v>13274</v>
      </c>
    </row>
    <row r="71" spans="1:21">
      <c r="A71" s="31"/>
      <c r="B71" s="19"/>
      <c r="C71" s="77" t="s">
        <v>67</v>
      </c>
      <c r="D71" s="408"/>
      <c r="E71" s="408"/>
      <c r="F71" s="408"/>
      <c r="G71" s="409"/>
      <c r="H71" s="73">
        <f>Yr1TravelDom</f>
        <v>4330</v>
      </c>
      <c r="I71" s="17"/>
      <c r="J71" s="73">
        <v>4410</v>
      </c>
      <c r="K71" s="17"/>
      <c r="L71" s="73">
        <v>4534</v>
      </c>
      <c r="M71" s="17"/>
      <c r="N71" s="73">
        <f>Yr4TravelDom</f>
        <v>0</v>
      </c>
      <c r="O71" s="18"/>
      <c r="P71" s="74">
        <f>Yr5TravelDom</f>
        <v>0</v>
      </c>
      <c r="Q71" s="18"/>
      <c r="R71" s="75">
        <f>SUM(H71+J71+L71+N71+P71)</f>
        <v>13274</v>
      </c>
      <c r="S71" s="10">
        <f t="shared" si="45"/>
        <v>0</v>
      </c>
      <c r="T71" s="75">
        <f>SUM(R71+S71)</f>
        <v>13274</v>
      </c>
    </row>
    <row r="72" spans="1:21">
      <c r="A72" s="31"/>
      <c r="B72" s="19"/>
      <c r="C72" s="77" t="s">
        <v>68</v>
      </c>
      <c r="D72" s="408"/>
      <c r="E72" s="408"/>
      <c r="F72" s="408"/>
      <c r="G72" s="409"/>
      <c r="H72" s="73">
        <f>Yr1TravelIntl</f>
        <v>0</v>
      </c>
      <c r="I72" s="17"/>
      <c r="J72" s="73">
        <f>Yr2TravelIntl</f>
        <v>0</v>
      </c>
      <c r="K72" s="17"/>
      <c r="L72" s="73">
        <f>Yr3TravelIntl</f>
        <v>0</v>
      </c>
      <c r="M72" s="17"/>
      <c r="N72" s="73">
        <f>Yr4TravelIntl</f>
        <v>0</v>
      </c>
      <c r="O72" s="18"/>
      <c r="P72" s="74">
        <f>Yr5TravelIntl</f>
        <v>0</v>
      </c>
      <c r="Q72" s="18"/>
      <c r="R72" s="75">
        <f t="shared" si="45"/>
        <v>0</v>
      </c>
      <c r="S72" s="10">
        <f t="shared" si="45"/>
        <v>0</v>
      </c>
      <c r="T72" s="75">
        <f>SUM(R72+S72)</f>
        <v>0</v>
      </c>
    </row>
    <row r="73" spans="1:21">
      <c r="A73" s="19"/>
      <c r="B73" s="19"/>
      <c r="C73" s="31"/>
      <c r="D73" s="37"/>
      <c r="E73" s="37"/>
      <c r="F73" s="37"/>
      <c r="G73" s="37"/>
      <c r="H73" s="205"/>
      <c r="I73" s="205"/>
      <c r="J73" s="205"/>
      <c r="K73" s="205"/>
      <c r="L73" s="205"/>
      <c r="M73" s="205"/>
      <c r="N73" s="205"/>
      <c r="O73" s="205"/>
      <c r="P73" s="205"/>
      <c r="Q73" s="205"/>
      <c r="R73" s="206"/>
      <c r="S73" s="206"/>
      <c r="T73" s="206"/>
    </row>
    <row r="74" spans="1:21" ht="15.6" hidden="1" outlineLevel="1">
      <c r="A74" s="40" t="s">
        <v>69</v>
      </c>
      <c r="B74" s="19"/>
      <c r="C74" s="366" t="s">
        <v>70</v>
      </c>
      <c r="D74" s="412" t="s">
        <v>71</v>
      </c>
      <c r="E74" s="412"/>
      <c r="F74" s="412"/>
      <c r="G74" s="413"/>
      <c r="H74" s="26">
        <f t="shared" ref="H74:Q74" si="46">SUM(H75:H79)</f>
        <v>0</v>
      </c>
      <c r="I74" s="27">
        <f t="shared" si="46"/>
        <v>0</v>
      </c>
      <c r="J74" s="26">
        <f t="shared" si="46"/>
        <v>0</v>
      </c>
      <c r="K74" s="27">
        <f t="shared" si="46"/>
        <v>0</v>
      </c>
      <c r="L74" s="26">
        <f t="shared" si="46"/>
        <v>0</v>
      </c>
      <c r="M74" s="27">
        <f t="shared" si="46"/>
        <v>0</v>
      </c>
      <c r="N74" s="26">
        <f t="shared" si="46"/>
        <v>0</v>
      </c>
      <c r="O74" s="27">
        <f t="shared" si="46"/>
        <v>0</v>
      </c>
      <c r="P74" s="29">
        <f t="shared" si="46"/>
        <v>0</v>
      </c>
      <c r="Q74" s="27">
        <f t="shared" si="46"/>
        <v>0</v>
      </c>
      <c r="R74" s="8">
        <f>SUM(H74+J74+L74+N74+P74)</f>
        <v>0</v>
      </c>
      <c r="S74" s="9">
        <f>SUM(I74+K74+M74+O74+Q74)</f>
        <v>0</v>
      </c>
      <c r="T74" s="8">
        <f>SUM(R74+S74)</f>
        <v>0</v>
      </c>
    </row>
    <row r="75" spans="1:21" hidden="1" outlineLevel="1">
      <c r="A75" s="19"/>
      <c r="B75" s="19"/>
      <c r="C75" s="77" t="s">
        <v>72</v>
      </c>
      <c r="D75" s="408"/>
      <c r="E75" s="408"/>
      <c r="F75" s="408"/>
      <c r="G75" s="409"/>
      <c r="H75" s="73">
        <v>0</v>
      </c>
      <c r="I75" s="17"/>
      <c r="J75" s="73">
        <v>0</v>
      </c>
      <c r="K75" s="17"/>
      <c r="L75" s="73">
        <v>0</v>
      </c>
      <c r="M75" s="17"/>
      <c r="N75" s="73">
        <v>0</v>
      </c>
      <c r="O75" s="18"/>
      <c r="P75" s="74">
        <v>0</v>
      </c>
      <c r="Q75" s="18"/>
      <c r="R75" s="75">
        <f t="shared" ref="R75:S79" si="47">SUM(H75+J75+L75+N75+P75)</f>
        <v>0</v>
      </c>
      <c r="S75" s="10">
        <f t="shared" si="47"/>
        <v>0</v>
      </c>
      <c r="T75" s="75">
        <f>SUM(R75+S75)</f>
        <v>0</v>
      </c>
    </row>
    <row r="76" spans="1:21" hidden="1" outlineLevel="1">
      <c r="A76" s="19"/>
      <c r="B76" s="19"/>
      <c r="C76" s="81" t="s">
        <v>73</v>
      </c>
      <c r="D76" s="408"/>
      <c r="E76" s="408"/>
      <c r="F76" s="408"/>
      <c r="G76" s="409"/>
      <c r="H76" s="73">
        <v>0</v>
      </c>
      <c r="I76" s="17"/>
      <c r="J76" s="73">
        <v>0</v>
      </c>
      <c r="K76" s="17"/>
      <c r="L76" s="73">
        <v>0</v>
      </c>
      <c r="M76" s="17"/>
      <c r="N76" s="73">
        <v>0</v>
      </c>
      <c r="O76" s="18"/>
      <c r="P76" s="74">
        <v>0</v>
      </c>
      <c r="Q76" s="18"/>
      <c r="R76" s="75">
        <f t="shared" si="47"/>
        <v>0</v>
      </c>
      <c r="S76" s="10">
        <f t="shared" si="47"/>
        <v>0</v>
      </c>
      <c r="T76" s="75">
        <f>SUM(R76+S76)</f>
        <v>0</v>
      </c>
    </row>
    <row r="77" spans="1:21" hidden="1" outlineLevel="1">
      <c r="A77" s="19"/>
      <c r="B77" s="19"/>
      <c r="C77" s="77" t="s">
        <v>74</v>
      </c>
      <c r="D77" s="408"/>
      <c r="E77" s="408"/>
      <c r="F77" s="408"/>
      <c r="G77" s="409"/>
      <c r="H77" s="73">
        <v>0</v>
      </c>
      <c r="I77" s="17"/>
      <c r="J77" s="73">
        <v>0</v>
      </c>
      <c r="K77" s="17"/>
      <c r="L77" s="73">
        <v>0</v>
      </c>
      <c r="M77" s="17"/>
      <c r="N77" s="73">
        <v>0</v>
      </c>
      <c r="O77" s="18"/>
      <c r="P77" s="74">
        <v>0</v>
      </c>
      <c r="Q77" s="18"/>
      <c r="R77" s="75">
        <f t="shared" si="47"/>
        <v>0</v>
      </c>
      <c r="S77" s="10">
        <f t="shared" si="47"/>
        <v>0</v>
      </c>
      <c r="T77" s="75">
        <f t="shared" ref="T77:T78" si="48">SUM(R77+S77)</f>
        <v>0</v>
      </c>
    </row>
    <row r="78" spans="1:21" hidden="1" outlineLevel="1">
      <c r="A78" s="19"/>
      <c r="B78" s="19"/>
      <c r="C78" s="77" t="s">
        <v>75</v>
      </c>
      <c r="D78" s="397"/>
      <c r="E78" s="397"/>
      <c r="F78" s="397"/>
      <c r="G78" s="397"/>
      <c r="H78" s="73">
        <v>0</v>
      </c>
      <c r="I78" s="17"/>
      <c r="J78" s="73">
        <v>0</v>
      </c>
      <c r="K78" s="17"/>
      <c r="L78" s="73">
        <v>0</v>
      </c>
      <c r="M78" s="17"/>
      <c r="N78" s="73">
        <v>0</v>
      </c>
      <c r="O78" s="18"/>
      <c r="P78" s="74">
        <v>0</v>
      </c>
      <c r="Q78" s="18"/>
      <c r="R78" s="75">
        <f t="shared" si="47"/>
        <v>0</v>
      </c>
      <c r="S78" s="10">
        <f t="shared" si="47"/>
        <v>0</v>
      </c>
      <c r="T78" s="75">
        <f t="shared" si="48"/>
        <v>0</v>
      </c>
    </row>
    <row r="79" spans="1:21" hidden="1" outlineLevel="1">
      <c r="A79" s="19"/>
      <c r="B79" s="19"/>
      <c r="C79" s="77" t="s">
        <v>76</v>
      </c>
      <c r="D79" s="397"/>
      <c r="E79" s="397"/>
      <c r="F79" s="397"/>
      <c r="G79" s="397"/>
      <c r="H79" s="73">
        <v>0</v>
      </c>
      <c r="I79" s="17"/>
      <c r="J79" s="73">
        <v>0</v>
      </c>
      <c r="K79" s="17"/>
      <c r="L79" s="73">
        <v>0</v>
      </c>
      <c r="M79" s="17"/>
      <c r="N79" s="73">
        <v>0</v>
      </c>
      <c r="O79" s="18"/>
      <c r="P79" s="74">
        <v>0</v>
      </c>
      <c r="Q79" s="18"/>
      <c r="R79" s="75">
        <f t="shared" si="47"/>
        <v>0</v>
      </c>
      <c r="S79" s="10">
        <f t="shared" si="47"/>
        <v>0</v>
      </c>
      <c r="T79" s="75">
        <f>SUM(R79+S79)</f>
        <v>0</v>
      </c>
    </row>
    <row r="80" spans="1:21" hidden="1" outlineLevel="1">
      <c r="A80" s="32"/>
      <c r="B80" s="32"/>
      <c r="C80" s="50"/>
      <c r="D80" s="32"/>
      <c r="E80" s="32"/>
      <c r="F80" s="32"/>
      <c r="G80" s="32"/>
      <c r="H80" s="35"/>
      <c r="I80" s="35"/>
      <c r="J80" s="35"/>
      <c r="K80" s="35"/>
      <c r="L80" s="35"/>
      <c r="M80" s="35"/>
      <c r="N80" s="35"/>
      <c r="O80" s="35"/>
      <c r="P80" s="35"/>
      <c r="Q80" s="35"/>
      <c r="R80" s="16"/>
      <c r="S80" s="16"/>
      <c r="T80" s="16"/>
    </row>
    <row r="81" spans="1:20" ht="15.6" collapsed="1">
      <c r="A81" s="40" t="s">
        <v>77</v>
      </c>
      <c r="B81" s="21"/>
      <c r="C81" s="39" t="s">
        <v>78</v>
      </c>
      <c r="D81" s="24"/>
      <c r="E81" s="24"/>
      <c r="F81" s="24"/>
      <c r="G81" s="24"/>
      <c r="H81" s="26">
        <f t="shared" ref="H81:Q81" si="49">SUM(H82:H103)</f>
        <v>49278</v>
      </c>
      <c r="I81" s="27">
        <f t="shared" si="49"/>
        <v>0</v>
      </c>
      <c r="J81" s="26">
        <f t="shared" si="49"/>
        <v>47466</v>
      </c>
      <c r="K81" s="27">
        <f t="shared" si="49"/>
        <v>0</v>
      </c>
      <c r="L81" s="26">
        <f t="shared" si="49"/>
        <v>50225</v>
      </c>
      <c r="M81" s="27">
        <f t="shared" si="49"/>
        <v>0</v>
      </c>
      <c r="N81" s="26">
        <f t="shared" si="49"/>
        <v>0</v>
      </c>
      <c r="O81" s="27">
        <f t="shared" si="49"/>
        <v>0</v>
      </c>
      <c r="P81" s="29">
        <f t="shared" si="49"/>
        <v>0</v>
      </c>
      <c r="Q81" s="27">
        <f t="shared" si="49"/>
        <v>0</v>
      </c>
      <c r="R81" s="8">
        <f>SUM(H81+J81+L81+N81+P81)</f>
        <v>146969</v>
      </c>
      <c r="S81" s="9">
        <f>SUM(I81+K81+M81+O81+Q81)</f>
        <v>0</v>
      </c>
      <c r="T81" s="8">
        <f>SUM(R81+S81)</f>
        <v>146969</v>
      </c>
    </row>
    <row r="82" spans="1:20">
      <c r="A82" s="19"/>
      <c r="B82" s="19"/>
      <c r="C82" s="81" t="s">
        <v>79</v>
      </c>
      <c r="D82" s="55"/>
      <c r="E82" s="55"/>
      <c r="F82" s="55"/>
      <c r="G82" s="55"/>
      <c r="H82" s="73">
        <v>5020</v>
      </c>
      <c r="I82" s="17"/>
      <c r="J82" s="73">
        <v>0</v>
      </c>
      <c r="K82" s="17"/>
      <c r="L82" s="73">
        <v>0</v>
      </c>
      <c r="M82" s="17"/>
      <c r="N82" s="73">
        <v>0</v>
      </c>
      <c r="O82" s="18"/>
      <c r="P82" s="74">
        <v>0</v>
      </c>
      <c r="Q82" s="18"/>
      <c r="R82" s="75">
        <f t="shared" ref="R82:S103" si="50">SUM(H82+J82+L82+N82+P82)</f>
        <v>5020</v>
      </c>
      <c r="S82" s="10">
        <f t="shared" si="50"/>
        <v>0</v>
      </c>
      <c r="T82" s="75">
        <f t="shared" ref="T82:T103" si="51">SUM(R82+S82)</f>
        <v>5020</v>
      </c>
    </row>
    <row r="83" spans="1:20">
      <c r="A83" s="19"/>
      <c r="B83" s="19"/>
      <c r="C83" s="77" t="s">
        <v>80</v>
      </c>
      <c r="D83" s="55"/>
      <c r="E83" s="55"/>
      <c r="F83" s="55"/>
      <c r="G83" s="55"/>
      <c r="H83" s="73">
        <v>0</v>
      </c>
      <c r="I83" s="17"/>
      <c r="J83" s="73">
        <v>2000</v>
      </c>
      <c r="K83" s="17"/>
      <c r="L83" s="73">
        <v>2000</v>
      </c>
      <c r="M83" s="17"/>
      <c r="N83" s="73">
        <v>0</v>
      </c>
      <c r="O83" s="18"/>
      <c r="P83" s="74">
        <v>0</v>
      </c>
      <c r="Q83" s="18"/>
      <c r="R83" s="75">
        <f t="shared" si="50"/>
        <v>4000</v>
      </c>
      <c r="S83" s="10">
        <f t="shared" si="50"/>
        <v>0</v>
      </c>
      <c r="T83" s="75">
        <f t="shared" si="51"/>
        <v>4000</v>
      </c>
    </row>
    <row r="84" spans="1:20">
      <c r="A84" s="19"/>
      <c r="B84" s="19"/>
      <c r="C84" s="77" t="s">
        <v>81</v>
      </c>
      <c r="D84" s="55"/>
      <c r="E84" s="55"/>
      <c r="F84" s="55"/>
      <c r="G84" s="55"/>
      <c r="H84" s="73">
        <v>0</v>
      </c>
      <c r="I84" s="17"/>
      <c r="J84" s="73">
        <v>0</v>
      </c>
      <c r="K84" s="17"/>
      <c r="L84" s="73">
        <v>1500</v>
      </c>
      <c r="M84" s="17"/>
      <c r="N84" s="73">
        <v>0</v>
      </c>
      <c r="O84" s="18"/>
      <c r="P84" s="74">
        <v>0</v>
      </c>
      <c r="Q84" s="18"/>
      <c r="R84" s="75">
        <f>SUM(H84+J84+L84+N84+P84)</f>
        <v>1500</v>
      </c>
      <c r="S84" s="10">
        <f>SUM(I84+K84+M84+O84+Q84)</f>
        <v>0</v>
      </c>
      <c r="T84" s="75">
        <f>SUM(R84+S84)</f>
        <v>1500</v>
      </c>
    </row>
    <row r="85" spans="1:20">
      <c r="A85" s="19"/>
      <c r="B85" s="19"/>
      <c r="C85" s="77" t="s">
        <v>82</v>
      </c>
      <c r="D85" s="55"/>
      <c r="E85" s="55"/>
      <c r="F85" s="55"/>
      <c r="G85" s="55"/>
      <c r="H85" s="73">
        <v>0</v>
      </c>
      <c r="I85" s="17"/>
      <c r="J85" s="73">
        <v>0</v>
      </c>
      <c r="K85" s="17"/>
      <c r="L85" s="73">
        <v>0</v>
      </c>
      <c r="M85" s="17"/>
      <c r="N85" s="73">
        <v>0</v>
      </c>
      <c r="O85" s="18"/>
      <c r="P85" s="74">
        <v>0</v>
      </c>
      <c r="Q85" s="18"/>
      <c r="R85" s="75">
        <f t="shared" si="50"/>
        <v>0</v>
      </c>
      <c r="S85" s="10">
        <f t="shared" si="50"/>
        <v>0</v>
      </c>
      <c r="T85" s="75">
        <f t="shared" si="51"/>
        <v>0</v>
      </c>
    </row>
    <row r="86" spans="1:20">
      <c r="A86" s="19"/>
      <c r="B86" s="19"/>
      <c r="C86" s="77" t="s">
        <v>83</v>
      </c>
      <c r="D86" s="55"/>
      <c r="E86" s="55"/>
      <c r="F86" s="55"/>
      <c r="G86" s="55"/>
      <c r="H86" s="73">
        <v>0</v>
      </c>
      <c r="I86" s="17"/>
      <c r="J86" s="73">
        <v>0</v>
      </c>
      <c r="K86" s="17"/>
      <c r="L86" s="73">
        <v>0</v>
      </c>
      <c r="M86" s="17"/>
      <c r="N86" s="73">
        <v>0</v>
      </c>
      <c r="O86" s="18"/>
      <c r="P86" s="74">
        <v>0</v>
      </c>
      <c r="Q86" s="18"/>
      <c r="R86" s="75">
        <f t="shared" si="50"/>
        <v>0</v>
      </c>
      <c r="S86" s="10">
        <f t="shared" si="50"/>
        <v>0</v>
      </c>
      <c r="T86" s="75">
        <f t="shared" si="51"/>
        <v>0</v>
      </c>
    </row>
    <row r="87" spans="1:20">
      <c r="A87" s="19"/>
      <c r="B87" s="19"/>
      <c r="C87" s="77" t="s">
        <v>84</v>
      </c>
      <c r="D87" s="55"/>
      <c r="E87" s="55"/>
      <c r="F87" s="55"/>
      <c r="G87" s="55"/>
      <c r="H87" s="73">
        <v>0</v>
      </c>
      <c r="I87" s="17"/>
      <c r="J87" s="73">
        <v>0</v>
      </c>
      <c r="K87" s="17"/>
      <c r="L87" s="73">
        <v>0</v>
      </c>
      <c r="M87" s="17"/>
      <c r="N87" s="73">
        <v>0</v>
      </c>
      <c r="O87" s="18"/>
      <c r="P87" s="74">
        <v>0</v>
      </c>
      <c r="Q87" s="18"/>
      <c r="R87" s="75">
        <f t="shared" si="50"/>
        <v>0</v>
      </c>
      <c r="S87" s="10">
        <f t="shared" si="50"/>
        <v>0</v>
      </c>
      <c r="T87" s="75">
        <f t="shared" si="51"/>
        <v>0</v>
      </c>
    </row>
    <row r="88" spans="1:20">
      <c r="A88" s="19"/>
      <c r="B88" s="19"/>
      <c r="C88" s="77" t="s">
        <v>85</v>
      </c>
      <c r="D88" s="55"/>
      <c r="E88" s="55"/>
      <c r="F88" s="55"/>
      <c r="G88" s="55"/>
      <c r="H88" s="73">
        <v>0</v>
      </c>
      <c r="I88" s="17"/>
      <c r="J88" s="73">
        <v>0</v>
      </c>
      <c r="K88" s="17"/>
      <c r="L88" s="73">
        <v>0</v>
      </c>
      <c r="M88" s="17"/>
      <c r="N88" s="73">
        <v>0</v>
      </c>
      <c r="O88" s="18"/>
      <c r="P88" s="74">
        <v>0</v>
      </c>
      <c r="Q88" s="18"/>
      <c r="R88" s="75">
        <f t="shared" si="50"/>
        <v>0</v>
      </c>
      <c r="S88" s="10">
        <f>SUM(I88+K88+M88+O88+Q88)</f>
        <v>0</v>
      </c>
      <c r="T88" s="75">
        <f t="shared" si="51"/>
        <v>0</v>
      </c>
    </row>
    <row r="89" spans="1:20" ht="12.95">
      <c r="A89" s="19"/>
      <c r="B89" s="19"/>
      <c r="C89" s="77" t="s">
        <v>86</v>
      </c>
      <c r="D89" s="55"/>
      <c r="E89" s="82"/>
      <c r="F89" s="55"/>
      <c r="G89" s="55"/>
      <c r="H89" s="73">
        <v>0</v>
      </c>
      <c r="I89" s="17"/>
      <c r="J89" s="73">
        <v>0</v>
      </c>
      <c r="K89" s="17"/>
      <c r="L89" s="73">
        <v>0</v>
      </c>
      <c r="M89" s="17"/>
      <c r="N89" s="73">
        <v>0</v>
      </c>
      <c r="O89" s="18"/>
      <c r="P89" s="74">
        <v>0</v>
      </c>
      <c r="Q89" s="18"/>
      <c r="R89" s="75">
        <f t="shared" si="50"/>
        <v>0</v>
      </c>
      <c r="S89" s="10">
        <f t="shared" si="50"/>
        <v>0</v>
      </c>
      <c r="T89" s="75">
        <f t="shared" si="51"/>
        <v>0</v>
      </c>
    </row>
    <row r="90" spans="1:20" ht="12.95">
      <c r="A90" s="19"/>
      <c r="B90" s="19"/>
      <c r="C90" s="55" t="s">
        <v>87</v>
      </c>
      <c r="D90" s="55"/>
      <c r="E90" s="55"/>
      <c r="F90" s="82"/>
      <c r="G90" s="55"/>
      <c r="H90" s="73">
        <v>0</v>
      </c>
      <c r="I90" s="17"/>
      <c r="J90" s="73">
        <v>0</v>
      </c>
      <c r="K90" s="17"/>
      <c r="L90" s="73">
        <v>0</v>
      </c>
      <c r="M90" s="17"/>
      <c r="N90" s="73">
        <v>0</v>
      </c>
      <c r="O90" s="18"/>
      <c r="P90" s="74">
        <v>0</v>
      </c>
      <c r="Q90" s="18"/>
      <c r="R90" s="75">
        <f t="shared" si="50"/>
        <v>0</v>
      </c>
      <c r="S90" s="10">
        <f t="shared" si="50"/>
        <v>0</v>
      </c>
      <c r="T90" s="75">
        <f t="shared" si="51"/>
        <v>0</v>
      </c>
    </row>
    <row r="91" spans="1:20" ht="12.95">
      <c r="A91" s="19"/>
      <c r="B91" s="19"/>
      <c r="C91" s="77" t="s">
        <v>88</v>
      </c>
      <c r="D91" s="55"/>
      <c r="E91" s="82"/>
      <c r="F91" s="56"/>
      <c r="G91" s="55"/>
      <c r="H91" s="73">
        <v>0</v>
      </c>
      <c r="I91" s="17"/>
      <c r="J91" s="73">
        <v>0</v>
      </c>
      <c r="K91" s="17"/>
      <c r="L91" s="73">
        <v>0</v>
      </c>
      <c r="M91" s="17"/>
      <c r="N91" s="73">
        <v>0</v>
      </c>
      <c r="O91" s="18"/>
      <c r="P91" s="74">
        <v>0</v>
      </c>
      <c r="Q91" s="18"/>
      <c r="R91" s="75">
        <f t="shared" si="50"/>
        <v>0</v>
      </c>
      <c r="S91" s="10">
        <f t="shared" si="50"/>
        <v>0</v>
      </c>
      <c r="T91" s="75">
        <f t="shared" si="51"/>
        <v>0</v>
      </c>
    </row>
    <row r="92" spans="1:20" ht="12.95">
      <c r="A92" s="19"/>
      <c r="B92" s="19"/>
      <c r="C92" s="55" t="s">
        <v>89</v>
      </c>
      <c r="D92" s="55"/>
      <c r="E92" s="55"/>
      <c r="F92" s="82"/>
      <c r="G92" s="55"/>
      <c r="H92" s="73">
        <v>0</v>
      </c>
      <c r="I92" s="17"/>
      <c r="J92" s="73">
        <v>0</v>
      </c>
      <c r="K92" s="17"/>
      <c r="L92" s="73">
        <v>0</v>
      </c>
      <c r="M92" s="17"/>
      <c r="N92" s="73">
        <v>0</v>
      </c>
      <c r="O92" s="18"/>
      <c r="P92" s="74">
        <v>0</v>
      </c>
      <c r="Q92" s="18"/>
      <c r="R92" s="75">
        <f t="shared" si="50"/>
        <v>0</v>
      </c>
      <c r="S92" s="10">
        <f t="shared" si="50"/>
        <v>0</v>
      </c>
      <c r="T92" s="75">
        <f t="shared" si="51"/>
        <v>0</v>
      </c>
    </row>
    <row r="93" spans="1:20" ht="12.95" customHeight="1">
      <c r="A93" s="19"/>
      <c r="B93" s="19"/>
      <c r="C93" s="77" t="s">
        <v>90</v>
      </c>
      <c r="D93" s="414" t="s">
        <v>91</v>
      </c>
      <c r="E93" s="414"/>
      <c r="F93" s="367" t="s">
        <v>92</v>
      </c>
      <c r="H93" s="75">
        <f>Tuition!K6</f>
        <v>0</v>
      </c>
      <c r="I93" s="17"/>
      <c r="J93" s="75">
        <f>Tuition!M6</f>
        <v>0</v>
      </c>
      <c r="K93" s="17"/>
      <c r="L93" s="75">
        <f>Tuition!O6</f>
        <v>0</v>
      </c>
      <c r="M93" s="17"/>
      <c r="N93" s="75">
        <f>Tuition!Q6</f>
        <v>0</v>
      </c>
      <c r="O93" s="18"/>
      <c r="P93" s="84">
        <f>Tuition!S6</f>
        <v>0</v>
      </c>
      <c r="Q93" s="18"/>
      <c r="R93" s="75">
        <f t="shared" si="50"/>
        <v>0</v>
      </c>
      <c r="S93" s="10">
        <f t="shared" si="50"/>
        <v>0</v>
      </c>
      <c r="T93" s="75">
        <f t="shared" si="51"/>
        <v>0</v>
      </c>
    </row>
    <row r="94" spans="1:20" ht="12.95" customHeight="1">
      <c r="A94" s="19"/>
      <c r="B94" s="19"/>
      <c r="C94" s="77" t="s">
        <v>93</v>
      </c>
      <c r="D94" s="414"/>
      <c r="E94" s="414"/>
      <c r="F94" s="367" t="s">
        <v>92</v>
      </c>
      <c r="H94" s="75">
        <f>Tuition!K26</f>
        <v>0</v>
      </c>
      <c r="I94" s="17"/>
      <c r="J94" s="75">
        <f>Tuition!M26</f>
        <v>0</v>
      </c>
      <c r="K94" s="17"/>
      <c r="L94" s="75">
        <f>Tuition!O26</f>
        <v>0</v>
      </c>
      <c r="M94" s="17"/>
      <c r="N94" s="75">
        <f>Tuition!Q26</f>
        <v>0</v>
      </c>
      <c r="O94" s="18"/>
      <c r="P94" s="84">
        <f>Tuition!S26</f>
        <v>0</v>
      </c>
      <c r="Q94" s="18"/>
      <c r="R94" s="75">
        <f t="shared" si="50"/>
        <v>0</v>
      </c>
      <c r="S94" s="10">
        <f t="shared" si="50"/>
        <v>0</v>
      </c>
      <c r="T94" s="75">
        <f t="shared" si="51"/>
        <v>0</v>
      </c>
    </row>
    <row r="95" spans="1:20" ht="12.95" customHeight="1">
      <c r="A95" s="19"/>
      <c r="B95" s="19"/>
      <c r="C95" s="77" t="s">
        <v>94</v>
      </c>
      <c r="D95" s="414"/>
      <c r="E95" s="414"/>
      <c r="F95" s="367" t="s">
        <v>92</v>
      </c>
      <c r="G95"/>
      <c r="H95" s="75">
        <f>Tuition!K46</f>
        <v>28758</v>
      </c>
      <c r="I95" s="17"/>
      <c r="J95" s="75">
        <f>Tuition!M46</f>
        <v>29966</v>
      </c>
      <c r="K95" s="17"/>
      <c r="L95" s="75">
        <f>Tuition!O46</f>
        <v>31225</v>
      </c>
      <c r="M95" s="17"/>
      <c r="N95" s="75">
        <f>Tuition!Q46</f>
        <v>0</v>
      </c>
      <c r="O95" s="18"/>
      <c r="P95" s="84">
        <f>Tuition!S46</f>
        <v>0</v>
      </c>
      <c r="Q95" s="18"/>
      <c r="R95" s="75">
        <f>SUM(H95+J95+L95+N95+P95)</f>
        <v>89949</v>
      </c>
      <c r="S95" s="10">
        <f>SUM(I95+K95+M95+O95+Q95)</f>
        <v>0</v>
      </c>
      <c r="T95" s="75">
        <f>SUM(R95+S95)</f>
        <v>89949</v>
      </c>
    </row>
    <row r="96" spans="1:20" ht="12.95" customHeight="1">
      <c r="A96" s="19"/>
      <c r="B96" s="19"/>
      <c r="C96" s="77" t="s">
        <v>95</v>
      </c>
      <c r="D96" s="414"/>
      <c r="E96" s="414"/>
      <c r="F96" s="367" t="s">
        <v>92</v>
      </c>
      <c r="G96"/>
      <c r="H96" s="75">
        <f>Tuition!K67</f>
        <v>0</v>
      </c>
      <c r="I96" s="17"/>
      <c r="J96" s="75">
        <f>Tuition!M67</f>
        <v>0</v>
      </c>
      <c r="K96" s="17"/>
      <c r="L96" s="75">
        <f>Tuition!O67</f>
        <v>0</v>
      </c>
      <c r="M96" s="17"/>
      <c r="N96" s="75">
        <f>Tuition!Q67</f>
        <v>0</v>
      </c>
      <c r="O96" s="18"/>
      <c r="P96" s="84">
        <f>Tuition!S67</f>
        <v>0</v>
      </c>
      <c r="Q96" s="18"/>
      <c r="R96" s="75">
        <f>H96+J96+L96+N96+P96</f>
        <v>0</v>
      </c>
      <c r="S96" s="10">
        <f t="shared" ref="S96:S97" si="52">SUM(I96+K96+M96+O96+Q96)</f>
        <v>0</v>
      </c>
      <c r="T96" s="75">
        <f t="shared" ref="T96" si="53">SUM(R96+S96)</f>
        <v>0</v>
      </c>
    </row>
    <row r="97" spans="1:23" ht="12.95" customHeight="1">
      <c r="A97" s="19"/>
      <c r="B97" s="19"/>
      <c r="C97" s="77" t="s">
        <v>96</v>
      </c>
      <c r="D97" s="415" t="s">
        <v>97</v>
      </c>
      <c r="E97" s="415"/>
      <c r="F97" s="367" t="s">
        <v>92</v>
      </c>
      <c r="G97"/>
      <c r="H97" s="75">
        <f>Tuition!K88</f>
        <v>0</v>
      </c>
      <c r="I97" s="17"/>
      <c r="J97" s="75">
        <f>Tuition!M88</f>
        <v>0</v>
      </c>
      <c r="K97" s="17"/>
      <c r="L97" s="75">
        <f>Tuition!O88</f>
        <v>0</v>
      </c>
      <c r="M97" s="17"/>
      <c r="N97" s="75">
        <f>Tuition!Q88</f>
        <v>0</v>
      </c>
      <c r="O97" s="18"/>
      <c r="P97" s="84">
        <f>Tuition!S88</f>
        <v>0</v>
      </c>
      <c r="Q97" s="18"/>
      <c r="R97" s="75">
        <f>H97+J97+L97+N97+P97</f>
        <v>0</v>
      </c>
      <c r="S97" s="10">
        <f t="shared" si="52"/>
        <v>0</v>
      </c>
      <c r="T97" s="75">
        <f t="shared" si="51"/>
        <v>0</v>
      </c>
    </row>
    <row r="98" spans="1:23" ht="12.95" customHeight="1">
      <c r="A98" s="19"/>
      <c r="B98" s="19"/>
      <c r="C98" s="77" t="s">
        <v>98</v>
      </c>
      <c r="D98" s="398"/>
      <c r="E98" s="398"/>
      <c r="F98" s="367"/>
      <c r="G98"/>
      <c r="H98" s="73">
        <v>0</v>
      </c>
      <c r="I98" s="17"/>
      <c r="J98" s="75">
        <v>0</v>
      </c>
      <c r="K98" s="17"/>
      <c r="L98" s="75">
        <v>0</v>
      </c>
      <c r="M98" s="17"/>
      <c r="N98" s="75">
        <v>0</v>
      </c>
      <c r="O98" s="18"/>
      <c r="P98" s="84">
        <v>0</v>
      </c>
      <c r="Q98" s="18"/>
      <c r="R98" s="75">
        <f t="shared" si="50"/>
        <v>0</v>
      </c>
      <c r="S98" s="10">
        <f t="shared" si="50"/>
        <v>0</v>
      </c>
      <c r="T98" s="75">
        <f t="shared" si="51"/>
        <v>0</v>
      </c>
    </row>
    <row r="99" spans="1:23" ht="12.95" customHeight="1">
      <c r="A99" s="19"/>
      <c r="B99" s="19"/>
      <c r="C99" s="77" t="s">
        <v>99</v>
      </c>
      <c r="D99" s="398"/>
      <c r="E99" s="398"/>
      <c r="F99" s="367"/>
      <c r="G99"/>
      <c r="H99" s="73">
        <v>0</v>
      </c>
      <c r="I99" s="17"/>
      <c r="J99" s="75">
        <f>Tuition!M31</f>
        <v>0</v>
      </c>
      <c r="K99" s="17"/>
      <c r="L99" s="75">
        <f>Tuition!O31</f>
        <v>0</v>
      </c>
      <c r="M99" s="17"/>
      <c r="N99" s="75">
        <f>Tuition!Q50</f>
        <v>0</v>
      </c>
      <c r="O99" s="18"/>
      <c r="P99" s="84">
        <f>Tuition!S50</f>
        <v>0</v>
      </c>
      <c r="Q99" s="18"/>
      <c r="R99" s="75">
        <f t="shared" si="50"/>
        <v>0</v>
      </c>
      <c r="S99" s="10">
        <f t="shared" si="50"/>
        <v>0</v>
      </c>
      <c r="T99" s="75">
        <f t="shared" si="51"/>
        <v>0</v>
      </c>
    </row>
    <row r="100" spans="1:23" ht="12.95" customHeight="1">
      <c r="A100" s="19"/>
      <c r="B100" s="19"/>
      <c r="C100" s="77" t="s">
        <v>100</v>
      </c>
      <c r="D100" s="398"/>
      <c r="E100" s="398"/>
      <c r="F100" s="367"/>
      <c r="G100"/>
      <c r="H100" s="73">
        <v>0</v>
      </c>
      <c r="I100" s="17"/>
      <c r="J100" s="75">
        <f>Tuition!M51</f>
        <v>0</v>
      </c>
      <c r="K100" s="17"/>
      <c r="L100" s="75">
        <f>Tuition!O51</f>
        <v>0</v>
      </c>
      <c r="M100" s="17"/>
      <c r="N100" s="75">
        <f>Tuition!Q71</f>
        <v>0</v>
      </c>
      <c r="O100" s="18"/>
      <c r="P100" s="84">
        <f>Tuition!S71</f>
        <v>0</v>
      </c>
      <c r="Q100" s="18"/>
      <c r="R100" s="75">
        <f>SUM(H100+J100+L100+N100+P100)</f>
        <v>0</v>
      </c>
      <c r="S100" s="10">
        <f t="shared" si="50"/>
        <v>0</v>
      </c>
      <c r="T100" s="75">
        <f t="shared" si="51"/>
        <v>0</v>
      </c>
    </row>
    <row r="101" spans="1:23">
      <c r="A101" s="19"/>
      <c r="B101" s="19"/>
      <c r="C101" s="77" t="s">
        <v>101</v>
      </c>
      <c r="D101" s="55"/>
      <c r="E101" s="55"/>
      <c r="F101" s="55"/>
      <c r="G101" s="83"/>
      <c r="H101" s="73">
        <v>500</v>
      </c>
      <c r="I101" s="17"/>
      <c r="J101" s="75">
        <v>500</v>
      </c>
      <c r="K101" s="17"/>
      <c r="L101" s="75">
        <v>500</v>
      </c>
      <c r="M101" s="17"/>
      <c r="N101" s="75">
        <f>Tuition!Q92</f>
        <v>0</v>
      </c>
      <c r="O101" s="18"/>
      <c r="P101" s="84">
        <f>Tuition!S92</f>
        <v>0</v>
      </c>
      <c r="Q101" s="18"/>
      <c r="R101" s="75">
        <f>H101+J101+L101+N101+P101</f>
        <v>1500</v>
      </c>
      <c r="S101" s="10">
        <f t="shared" si="50"/>
        <v>0</v>
      </c>
      <c r="T101" s="75">
        <f t="shared" si="51"/>
        <v>1500</v>
      </c>
    </row>
    <row r="102" spans="1:23">
      <c r="A102" s="19"/>
      <c r="B102" s="19"/>
      <c r="C102" s="77" t="s">
        <v>102</v>
      </c>
      <c r="D102" s="55"/>
      <c r="E102" s="55"/>
      <c r="F102" s="55"/>
      <c r="G102" s="83"/>
      <c r="H102" s="73">
        <v>15000</v>
      </c>
      <c r="I102" s="17"/>
      <c r="J102" s="73">
        <v>15000</v>
      </c>
      <c r="K102" s="17"/>
      <c r="L102" s="73">
        <v>15000</v>
      </c>
      <c r="M102" s="17"/>
      <c r="N102" s="75">
        <f>Tuition!Q34</f>
        <v>0</v>
      </c>
      <c r="O102" s="18"/>
      <c r="P102" s="84">
        <f>Tuition!S34</f>
        <v>0</v>
      </c>
      <c r="Q102" s="18"/>
      <c r="R102" s="75">
        <f>H102+J102+L102+N102+P102</f>
        <v>45000</v>
      </c>
      <c r="S102" s="10">
        <f t="shared" si="50"/>
        <v>0</v>
      </c>
      <c r="T102" s="75">
        <f t="shared" si="51"/>
        <v>45000</v>
      </c>
    </row>
    <row r="103" spans="1:23">
      <c r="A103" s="19"/>
      <c r="B103" s="19"/>
      <c r="C103" s="77" t="s">
        <v>103</v>
      </c>
      <c r="D103" s="55"/>
      <c r="E103" s="55"/>
      <c r="F103" s="55"/>
      <c r="G103" s="83"/>
      <c r="H103" s="390">
        <v>0</v>
      </c>
      <c r="I103" s="17"/>
      <c r="J103" s="390">
        <v>0</v>
      </c>
      <c r="K103" s="17"/>
      <c r="L103" s="390">
        <v>0</v>
      </c>
      <c r="M103" s="17"/>
      <c r="N103" s="206">
        <f>Tuition!Q54</f>
        <v>0</v>
      </c>
      <c r="O103" s="18"/>
      <c r="P103" s="391">
        <v>0</v>
      </c>
      <c r="Q103" s="18"/>
      <c r="R103" s="75">
        <f t="shared" si="50"/>
        <v>0</v>
      </c>
      <c r="S103" s="10">
        <f t="shared" si="50"/>
        <v>0</v>
      </c>
      <c r="T103" s="75">
        <f t="shared" si="51"/>
        <v>0</v>
      </c>
      <c r="U103" s="387"/>
    </row>
    <row r="104" spans="1:23">
      <c r="A104" s="32"/>
      <c r="B104" s="32"/>
      <c r="C104" s="50"/>
      <c r="D104" s="32"/>
      <c r="E104" s="32"/>
      <c r="F104" s="32"/>
      <c r="G104" s="51"/>
      <c r="H104" s="35"/>
      <c r="I104" s="35"/>
      <c r="J104" s="35"/>
      <c r="K104" s="35"/>
      <c r="L104" s="35"/>
      <c r="M104" s="35"/>
      <c r="N104" s="35"/>
      <c r="O104" s="35"/>
      <c r="P104" s="35"/>
      <c r="Q104" s="35"/>
      <c r="R104" s="16"/>
      <c r="S104" s="16"/>
      <c r="T104" s="16"/>
      <c r="U104" s="387"/>
    </row>
    <row r="105" spans="1:23" ht="15.6">
      <c r="A105" s="19"/>
      <c r="B105" s="19"/>
      <c r="C105" s="39" t="s">
        <v>104</v>
      </c>
      <c r="D105" s="39"/>
      <c r="E105" s="39"/>
      <c r="F105" s="52"/>
      <c r="G105" s="53"/>
      <c r="H105" s="90">
        <f>H64+H66+H70+H74+H81</f>
        <v>148162.16416666668</v>
      </c>
      <c r="I105" s="28">
        <f t="shared" ref="I105:Q105" si="54">I64+I66+I70+I74+I81</f>
        <v>0</v>
      </c>
      <c r="J105" s="90">
        <f t="shared" si="54"/>
        <v>149269</v>
      </c>
      <c r="K105" s="28">
        <f t="shared" si="54"/>
        <v>0</v>
      </c>
      <c r="L105" s="90">
        <f>L64+L66+L70+L74+L81</f>
        <v>155074</v>
      </c>
      <c r="M105" s="28">
        <f t="shared" si="54"/>
        <v>0</v>
      </c>
      <c r="N105" s="90">
        <f t="shared" si="54"/>
        <v>0</v>
      </c>
      <c r="O105" s="28">
        <f t="shared" si="54"/>
        <v>0</v>
      </c>
      <c r="P105" s="90">
        <f t="shared" si="54"/>
        <v>0</v>
      </c>
      <c r="Q105" s="27">
        <f t="shared" si="54"/>
        <v>0</v>
      </c>
      <c r="R105" s="93">
        <f>SUM(H105+J105+L105+N105+P105)</f>
        <v>452505.16416666668</v>
      </c>
      <c r="S105" s="9">
        <f>SUM(I105+K105+M105+O105+Q105)</f>
        <v>0</v>
      </c>
      <c r="T105" s="94">
        <f>SUM(R105+S105)</f>
        <v>452505.16416666668</v>
      </c>
      <c r="U105" s="387"/>
    </row>
    <row r="106" spans="1:23" ht="15.6">
      <c r="A106" s="19"/>
      <c r="B106" s="19"/>
      <c r="C106" s="39" t="s">
        <v>105</v>
      </c>
      <c r="D106" s="39"/>
      <c r="E106" s="39"/>
      <c r="F106" s="52"/>
      <c r="G106" s="53"/>
      <c r="H106" s="91">
        <f>H105-H89-H90-H91-H92</f>
        <v>148162.16416666668</v>
      </c>
      <c r="I106" s="27">
        <f>I105-I89-I90-I91-I92</f>
        <v>0</v>
      </c>
      <c r="J106" s="91">
        <f>J105-J89-J90-J91-J92</f>
        <v>149269</v>
      </c>
      <c r="K106" s="27">
        <f t="shared" ref="K106:Q106" si="55">K105-K89-K90-K91-K92</f>
        <v>0</v>
      </c>
      <c r="L106" s="91">
        <f t="shared" si="55"/>
        <v>155074</v>
      </c>
      <c r="M106" s="27">
        <f t="shared" si="55"/>
        <v>0</v>
      </c>
      <c r="N106" s="91">
        <f>N105-N89-N90-N91-N92</f>
        <v>0</v>
      </c>
      <c r="O106" s="27">
        <f t="shared" si="55"/>
        <v>0</v>
      </c>
      <c r="P106" s="91">
        <f t="shared" si="55"/>
        <v>0</v>
      </c>
      <c r="Q106" s="27">
        <f t="shared" si="55"/>
        <v>0</v>
      </c>
      <c r="R106" s="93">
        <f>SUM(H106+J106+L106+N106+P106)</f>
        <v>452505.16416666668</v>
      </c>
      <c r="S106" s="9">
        <f>SUM(I106+K106+M106+O106+Q106)</f>
        <v>0</v>
      </c>
      <c r="T106" s="94">
        <f>SUM(R106+S106)</f>
        <v>452505.16416666668</v>
      </c>
      <c r="U106" s="387"/>
    </row>
    <row r="107" spans="1:23">
      <c r="A107" s="32"/>
      <c r="B107" s="32"/>
      <c r="C107" s="50"/>
      <c r="D107" s="32"/>
      <c r="E107" s="32"/>
      <c r="F107" s="32"/>
      <c r="G107" s="32"/>
      <c r="H107" s="35"/>
      <c r="I107" s="35"/>
      <c r="J107" s="35"/>
      <c r="K107" s="35"/>
      <c r="L107" s="35"/>
      <c r="M107" s="35"/>
      <c r="N107" s="35"/>
      <c r="O107" s="35"/>
      <c r="P107" s="35"/>
      <c r="Q107" s="35"/>
      <c r="R107" s="16"/>
      <c r="S107" s="16"/>
      <c r="T107" s="16"/>
      <c r="U107" s="387"/>
    </row>
    <row r="108" spans="1:23" ht="15.6">
      <c r="A108" s="19"/>
      <c r="B108" s="19"/>
      <c r="C108" s="39" t="s">
        <v>106</v>
      </c>
      <c r="D108" s="39"/>
      <c r="E108" s="39"/>
      <c r="F108" s="54"/>
      <c r="G108" s="22"/>
      <c r="H108" s="90">
        <f>(H105-H87-H66-H74-H88-H90-H92-H93-H94-H95-H96-H97-H98)</f>
        <v>119404.16416666668</v>
      </c>
      <c r="I108" s="28">
        <f>(I105-I87-I66-I74-I88-I90-I92-I93-I94-I95-I96-I97-I98)</f>
        <v>0</v>
      </c>
      <c r="J108" s="90">
        <f t="shared" ref="J108:Q108" si="56">(J105-J87-J66-J74-J88-J90-J92-J93-J94-J95-J96-J97-J98)</f>
        <v>119303</v>
      </c>
      <c r="K108" s="28">
        <f t="shared" si="56"/>
        <v>0</v>
      </c>
      <c r="L108" s="90">
        <f t="shared" si="56"/>
        <v>123849</v>
      </c>
      <c r="M108" s="28">
        <f t="shared" si="56"/>
        <v>0</v>
      </c>
      <c r="N108" s="90">
        <f t="shared" si="56"/>
        <v>0</v>
      </c>
      <c r="O108" s="28">
        <f t="shared" si="56"/>
        <v>0</v>
      </c>
      <c r="P108" s="90">
        <f t="shared" si="56"/>
        <v>0</v>
      </c>
      <c r="Q108" s="28">
        <f t="shared" si="56"/>
        <v>0</v>
      </c>
      <c r="R108" s="93">
        <f>SUM(H108+J108+L108+N108+P108)</f>
        <v>362556.16416666668</v>
      </c>
      <c r="S108" s="9">
        <f>SUM(I108+K108+M108+O108+Q108)</f>
        <v>0</v>
      </c>
      <c r="T108" s="94">
        <f>SUM(R108+S108)</f>
        <v>362556.16416666668</v>
      </c>
    </row>
    <row r="109" spans="1:23">
      <c r="A109" s="32"/>
      <c r="B109" s="32"/>
      <c r="C109" s="77" t="s">
        <v>107</v>
      </c>
      <c r="D109" s="77"/>
      <c r="E109" s="77"/>
      <c r="F109" s="77"/>
      <c r="G109" s="55"/>
      <c r="H109" s="35"/>
      <c r="I109" s="35"/>
      <c r="J109" s="35"/>
      <c r="K109" s="35"/>
      <c r="L109" s="35"/>
      <c r="M109" s="35"/>
      <c r="N109" s="35"/>
      <c r="O109" s="35"/>
      <c r="P109" s="35"/>
      <c r="Q109" s="35"/>
      <c r="R109" s="16"/>
      <c r="S109" s="16"/>
      <c r="T109" s="16"/>
    </row>
    <row r="110" spans="1:23" ht="15.6">
      <c r="A110" s="32"/>
      <c r="B110" s="32"/>
      <c r="C110" s="101"/>
      <c r="D110" s="33"/>
      <c r="E110" s="33"/>
      <c r="F110" s="33"/>
      <c r="G110" s="209"/>
      <c r="H110" s="32"/>
      <c r="I110" s="34"/>
      <c r="J110" s="34"/>
      <c r="K110" s="34"/>
      <c r="L110" s="34"/>
      <c r="M110" s="34"/>
      <c r="N110" s="34"/>
      <c r="O110" s="34"/>
      <c r="P110" s="34"/>
      <c r="Q110" s="34"/>
      <c r="R110" s="16"/>
      <c r="S110" s="16"/>
      <c r="T110" s="16"/>
    </row>
    <row r="111" spans="1:23" ht="15.6">
      <c r="A111" s="40" t="s">
        <v>108</v>
      </c>
      <c r="B111" s="21"/>
      <c r="C111" s="39" t="s">
        <v>109</v>
      </c>
      <c r="D111" s="24" t="s">
        <v>61</v>
      </c>
      <c r="E111" s="24"/>
      <c r="F111" s="24"/>
      <c r="G111" s="24"/>
      <c r="H111" s="91">
        <f>SUM(H112:H112)</f>
        <v>63487.487345416674</v>
      </c>
      <c r="I111" s="27">
        <f>SUM(I112:I113)</f>
        <v>0</v>
      </c>
      <c r="J111" s="91">
        <f t="shared" ref="J111:P111" si="57">SUM(J112:J112)</f>
        <v>63961.766499999998</v>
      </c>
      <c r="K111" s="27">
        <f>SUM(K112:K113)</f>
        <v>0</v>
      </c>
      <c r="L111" s="91">
        <f t="shared" si="57"/>
        <v>66449.209000000003</v>
      </c>
      <c r="M111" s="27">
        <f>SUM(M112:M113)</f>
        <v>0</v>
      </c>
      <c r="N111" s="91">
        <f t="shared" si="57"/>
        <v>0</v>
      </c>
      <c r="O111" s="27">
        <f>SUM(O112:O113)</f>
        <v>0</v>
      </c>
      <c r="P111" s="90">
        <f t="shared" si="57"/>
        <v>0</v>
      </c>
      <c r="Q111" s="27">
        <f>SUM(Q112:Q113)</f>
        <v>0</v>
      </c>
      <c r="R111" s="92">
        <f>SUM(H111+J111+L111+N111+P111)</f>
        <v>193898.46284541668</v>
      </c>
      <c r="S111" s="9">
        <f>SUM(I111+K111+M111+O111+Q111)</f>
        <v>0</v>
      </c>
      <c r="T111" s="92">
        <f>SUM(R111+S111)</f>
        <v>193898.46284541668</v>
      </c>
      <c r="V111" s="395">
        <f>H108*F135</f>
        <v>65672.290291666679</v>
      </c>
      <c r="W111" s="252" t="s">
        <v>110</v>
      </c>
    </row>
    <row r="112" spans="1:23" ht="15.6">
      <c r="A112" s="48"/>
      <c r="B112" s="32"/>
      <c r="C112" s="77" t="str">
        <f>"IDC on "&amp;G5</f>
        <v>IDC on Total Project Costs (USDA TFF)</v>
      </c>
      <c r="D112" s="227">
        <f>IF(G5=U4,"55%",H4)</f>
        <v>0.42849999999999999</v>
      </c>
      <c r="E112" s="410" t="str">
        <f>"[ IDC = "&amp;G5&amp;" * Indirect Rate ]"</f>
        <v>[ IDC = Total Project Costs (USDA TFF) * Indirect Rate ]</v>
      </c>
      <c r="F112" s="410"/>
      <c r="G112" s="411"/>
      <c r="H112" s="73">
        <f>IF($G$5=Negotiated,H108*F135,IF($G$5=OtherTDC,H105*$H$4,IF($G$5=TFF_TDC,(H105-H89-H90-H91-H92)*$H$4,IF($G$5=OtherMTDC,H108*$H$4))))</f>
        <v>63487.487345416674</v>
      </c>
      <c r="I112" s="17">
        <f>IF($G$5=Negotiated,I108*F135,IF($G$5=OtherTDC,I105*$H$4,IF($G$5=TFF_TDC,(I105-I89-I90-I91-I92)*$H$4,IF($G$5=OtherMTDC,I108*$H$4))))</f>
        <v>0</v>
      </c>
      <c r="J112" s="73">
        <f>IF($G$5=Negotiated,J108*F135,IF($G$5=OtherTDC,J105*$H$4,IF($G$5=TFF_TDC,(J105-J89-J90-J91-J92)*$H$4,IF($G$5=OtherMTDC,J108*$H$4))))</f>
        <v>63961.766499999998</v>
      </c>
      <c r="K112" s="17">
        <f>IF($G$5=Negotiated,K108*F135,IF($G$5=OtherTDC,K105*$H$4,IF($G$5=TFF_TDC,(K105-K89-K90-K91-K92)*$H$4,IF($G$5=OtherMTDC,K108*$H$4))))</f>
        <v>0</v>
      </c>
      <c r="L112" s="73">
        <f>IF($G$5=Negotiated,L108*F135,IF($G$5=OtherTDC,L105*$H$4,IF($G$5=TFF_TDC,(L105-L89-L90-L91-L92)*$H$4,IF($G$5=OtherMTDC,L108*$H$4))))</f>
        <v>66449.209000000003</v>
      </c>
      <c r="M112" s="17">
        <f>IF($G$5=Negotiated,M108*F135,IF($G$5=OtherTDC,M105*$H$4,IF($G$5=TFF_TDC,(M105-M89-M90-M91-M92)*$H$4,IF($G$5=OtherMTDC,M108*$H$4))))</f>
        <v>0</v>
      </c>
      <c r="N112" s="73">
        <f>IF($G$5=Negotiated,N108*F135,IF($G$5=OtherTDC,N105*$H$4,IF($G$5=TFF_TDC,(N105-N89-N90-N91-N92)*$H$4,IF($G$5=OtherMTDC,N108*$H$4))))</f>
        <v>0</v>
      </c>
      <c r="O112" s="17">
        <f>IF($G$5=Negotiated,O108*F135,IF($G$5=OtherTDC,O105*$H$4,IF($G$5=TFF_TDC,(O105-O89-O90-O91-O92)*$H$4,IF($G$5=OtherMTDC,O108*$H$4))))</f>
        <v>0</v>
      </c>
      <c r="P112" s="73">
        <f>IF($G$5=Negotiated,P108*F135,IF($G$5=OtherTDC,P105*$H$4,IF($G$5=TFF_TDC,(P105-P89-P90-P91-P92)*$H$4,IF($G$5=OtherMTDC,P108*$H$4))))</f>
        <v>0</v>
      </c>
      <c r="Q112" s="17">
        <f>IF($G$5=Negotiated,Q108*F135,IF($G$5=OtherTDC,Q105*$H$4,IF($G$5=TFF_TDC,(Q105-Q89-Q90-Q91-Q92)*$H$4,IF($G$5=OtherMTDC,Q108*$H$4))))</f>
        <v>0</v>
      </c>
      <c r="R112" s="92">
        <f>SUM(H112+J112+L112+N112+P112)</f>
        <v>193898.46284541668</v>
      </c>
      <c r="S112" s="9">
        <f>SUM(I112+K112+M112+O112+Q112)</f>
        <v>0</v>
      </c>
      <c r="T112" s="249">
        <f>SUM(R112+S112)</f>
        <v>193898.46284541668</v>
      </c>
      <c r="V112" s="395">
        <f>H105*G4</f>
        <v>63487.487345416674</v>
      </c>
      <c r="W112" s="252" t="s">
        <v>111</v>
      </c>
    </row>
    <row r="113" spans="1:21" ht="15.6">
      <c r="A113" s="50"/>
      <c r="B113" s="32"/>
      <c r="C113" s="77" t="s">
        <v>112</v>
      </c>
      <c r="D113" s="227"/>
      <c r="E113" s="397"/>
      <c r="F113" s="397"/>
      <c r="G113" s="397"/>
      <c r="H113" s="24"/>
      <c r="I113" s="17">
        <f>IF($G$6="Yes",(((H108+I108)*0.55)-H112-I112),0)</f>
        <v>0</v>
      </c>
      <c r="J113" s="24"/>
      <c r="K113" s="17">
        <f>IF($G$6="Yes",(((J108+K108)*0.55)-J112-K112),0)</f>
        <v>0</v>
      </c>
      <c r="L113" s="24"/>
      <c r="M113" s="17">
        <f>IF($G$6="Yes",(((L108+M108)*0.55)-L112-M112),0)</f>
        <v>0</v>
      </c>
      <c r="N113" s="24"/>
      <c r="O113" s="17">
        <f>IF($G$6="Yes",(((N108+O108)*0.55)-N112-O112),0)</f>
        <v>0</v>
      </c>
      <c r="P113" s="24"/>
      <c r="Q113" s="17">
        <f>IF($G$6="Yes",(((P108+Q108)*0.55)-P112-Q112),0)</f>
        <v>0</v>
      </c>
      <c r="R113" s="24"/>
      <c r="S113" s="9">
        <f>SUM(I113+K113+M113+O113+Q113)</f>
        <v>0</v>
      </c>
      <c r="T113" s="92">
        <f>S113</f>
        <v>0</v>
      </c>
    </row>
    <row r="114" spans="1:21" ht="15.6">
      <c r="A114" s="48"/>
      <c r="B114" s="32"/>
      <c r="C114" s="102"/>
      <c r="D114" s="44"/>
      <c r="E114" s="44"/>
      <c r="F114" s="44"/>
      <c r="G114" s="164"/>
      <c r="H114" s="166"/>
      <c r="I114" s="166"/>
      <c r="J114" s="166"/>
      <c r="K114" s="166"/>
      <c r="L114" s="166"/>
      <c r="M114" s="166"/>
      <c r="N114" s="166"/>
      <c r="O114" s="166"/>
      <c r="P114" s="166"/>
      <c r="Q114" s="166"/>
      <c r="R114" s="16"/>
      <c r="S114" s="16"/>
      <c r="T114" s="16"/>
    </row>
    <row r="115" spans="1:21">
      <c r="A115" s="32"/>
      <c r="B115" s="32"/>
      <c r="C115" s="32"/>
      <c r="D115" s="33"/>
      <c r="E115" s="33"/>
      <c r="F115" s="33"/>
      <c r="G115" s="165"/>
      <c r="H115" s="166"/>
      <c r="I115" s="166"/>
      <c r="J115" s="166"/>
      <c r="K115" s="166"/>
      <c r="L115" s="166"/>
      <c r="M115" s="166"/>
      <c r="N115" s="166"/>
      <c r="O115" s="166"/>
      <c r="P115" s="166"/>
      <c r="Q115" s="166"/>
      <c r="R115" s="16"/>
      <c r="S115" s="16"/>
      <c r="T115" s="16"/>
    </row>
    <row r="116" spans="1:21" ht="15.6">
      <c r="A116" s="40" t="s">
        <v>113</v>
      </c>
      <c r="B116" s="21"/>
      <c r="C116" s="39" t="s">
        <v>114</v>
      </c>
      <c r="D116" s="24"/>
      <c r="E116" s="24"/>
      <c r="F116" s="24"/>
      <c r="G116" s="24"/>
      <c r="H116" s="91">
        <f>H105+H111</f>
        <v>211649.65151208336</v>
      </c>
      <c r="I116" s="247">
        <f t="shared" ref="I116:Q116" si="58">I105+I111</f>
        <v>0</v>
      </c>
      <c r="J116" s="91">
        <f t="shared" si="58"/>
        <v>213230.7665</v>
      </c>
      <c r="K116" s="247">
        <f t="shared" si="58"/>
        <v>0</v>
      </c>
      <c r="L116" s="91">
        <f t="shared" si="58"/>
        <v>221523.209</v>
      </c>
      <c r="M116" s="247">
        <f t="shared" si="58"/>
        <v>0</v>
      </c>
      <c r="N116" s="91">
        <f t="shared" si="58"/>
        <v>0</v>
      </c>
      <c r="O116" s="247">
        <f t="shared" si="58"/>
        <v>0</v>
      </c>
      <c r="P116" s="91">
        <f t="shared" si="58"/>
        <v>0</v>
      </c>
      <c r="Q116" s="247">
        <f t="shared" si="58"/>
        <v>0</v>
      </c>
      <c r="R116" s="92">
        <f>SUM(H116+J116+L116+N116+P116)</f>
        <v>646403.62701208342</v>
      </c>
      <c r="S116" s="248">
        <f>SUM(I116+K116+M116+O116+Q116)</f>
        <v>0</v>
      </c>
      <c r="T116" s="249">
        <f>SUM(R116+S116)</f>
        <v>646403.62701208342</v>
      </c>
    </row>
    <row r="117" spans="1:21" ht="15.6">
      <c r="A117" s="40"/>
      <c r="B117" s="21"/>
      <c r="C117" s="77" t="s">
        <v>115</v>
      </c>
      <c r="D117" s="56"/>
      <c r="E117" s="56"/>
      <c r="F117" s="56"/>
      <c r="G117" s="56"/>
      <c r="H117" s="24"/>
      <c r="I117" s="27"/>
      <c r="J117" s="24"/>
      <c r="K117" s="27"/>
      <c r="L117" s="24"/>
      <c r="M117" s="27"/>
      <c r="N117" s="24"/>
      <c r="O117" s="27"/>
      <c r="P117" s="24"/>
      <c r="Q117" s="27"/>
      <c r="R117" s="24"/>
      <c r="S117" s="248">
        <f t="shared" ref="S117:S119" si="59">SUM(I117+K117+M117+O117+Q117)</f>
        <v>0</v>
      </c>
      <c r="T117" s="249">
        <f>S117</f>
        <v>0</v>
      </c>
    </row>
    <row r="118" spans="1:21" ht="15.6">
      <c r="A118" s="31"/>
      <c r="B118" s="21"/>
      <c r="C118" s="77" t="s">
        <v>116</v>
      </c>
      <c r="D118" s="56"/>
      <c r="E118" s="56"/>
      <c r="F118" s="56"/>
      <c r="G118" s="56"/>
      <c r="H118" s="24"/>
      <c r="I118" s="27"/>
      <c r="J118" s="24"/>
      <c r="K118" s="27"/>
      <c r="L118" s="24"/>
      <c r="M118" s="27"/>
      <c r="N118" s="24"/>
      <c r="O118" s="27"/>
      <c r="P118" s="24"/>
      <c r="Q118" s="27"/>
      <c r="R118" s="24"/>
      <c r="S118" s="248">
        <f t="shared" si="59"/>
        <v>0</v>
      </c>
      <c r="T118" s="249">
        <f>S118</f>
        <v>0</v>
      </c>
    </row>
    <row r="119" spans="1:21" ht="15.6">
      <c r="A119" s="40" t="s">
        <v>117</v>
      </c>
      <c r="B119" s="21"/>
      <c r="C119" s="250" t="s">
        <v>118</v>
      </c>
      <c r="D119" s="251"/>
      <c r="E119" s="251"/>
      <c r="F119" s="251"/>
      <c r="G119" s="251"/>
      <c r="H119" s="91">
        <f>H116</f>
        <v>211649.65151208336</v>
      </c>
      <c r="I119" s="27">
        <f>SUM(I116:I118)</f>
        <v>0</v>
      </c>
      <c r="J119" s="91">
        <f>+J116</f>
        <v>213230.7665</v>
      </c>
      <c r="K119" s="27">
        <f>SUM(K116:K118)</f>
        <v>0</v>
      </c>
      <c r="L119" s="91">
        <f>+L116</f>
        <v>221523.209</v>
      </c>
      <c r="M119" s="27">
        <f>SUM(M116:M118)</f>
        <v>0</v>
      </c>
      <c r="N119" s="91">
        <f>+N116</f>
        <v>0</v>
      </c>
      <c r="O119" s="27">
        <f>SUM(O116:O118)</f>
        <v>0</v>
      </c>
      <c r="P119" s="91">
        <f>+P116</f>
        <v>0</v>
      </c>
      <c r="Q119" s="27">
        <f>SUM(Q116:Q118)</f>
        <v>0</v>
      </c>
      <c r="R119" s="91">
        <f>+R116</f>
        <v>646403.62701208342</v>
      </c>
      <c r="S119" s="9">
        <f t="shared" si="59"/>
        <v>0</v>
      </c>
      <c r="T119" s="249">
        <f t="shared" ref="T119" si="60">SUM(R119+S119)</f>
        <v>646403.62701208342</v>
      </c>
    </row>
    <row r="120" spans="1:21" ht="15.6">
      <c r="A120" s="40"/>
      <c r="B120" s="21"/>
      <c r="C120" s="89"/>
      <c r="D120" s="33"/>
      <c r="E120" s="33"/>
      <c r="F120" s="33"/>
      <c r="G120" s="33"/>
      <c r="H120" s="46"/>
      <c r="I120" s="46"/>
      <c r="J120" s="46"/>
      <c r="K120" s="46"/>
      <c r="L120" s="46"/>
      <c r="M120" s="46"/>
      <c r="N120" s="46"/>
      <c r="O120" s="46"/>
      <c r="P120" s="46"/>
      <c r="Q120" s="46"/>
      <c r="R120" s="24"/>
      <c r="S120" s="46"/>
      <c r="T120" s="46"/>
      <c r="U120" s="387"/>
    </row>
    <row r="123" spans="1:21">
      <c r="H123" s="161"/>
    </row>
    <row r="124" spans="1:21" ht="12.95">
      <c r="C124" s="394" t="s">
        <v>119</v>
      </c>
      <c r="J124" s="59"/>
      <c r="K124" s="59"/>
      <c r="L124" s="59"/>
      <c r="M124" s="59"/>
    </row>
    <row r="125" spans="1:21" ht="12.95">
      <c r="C125" s="394"/>
      <c r="J125" s="59"/>
      <c r="K125" s="59"/>
      <c r="L125" s="59"/>
      <c r="M125" s="59"/>
      <c r="U125" s="252"/>
    </row>
    <row r="126" spans="1:21" ht="12.95">
      <c r="C126" s="407" t="s">
        <v>120</v>
      </c>
      <c r="D126" s="407"/>
      <c r="E126" s="407"/>
      <c r="F126" s="407"/>
      <c r="G126" s="407"/>
      <c r="H126" s="407"/>
      <c r="I126" s="407"/>
      <c r="J126" s="407"/>
      <c r="K126" s="407"/>
      <c r="L126" s="407"/>
      <c r="M126" s="407"/>
      <c r="N126" s="407"/>
      <c r="O126" s="407"/>
      <c r="P126" s="407"/>
      <c r="Q126" s="407"/>
      <c r="R126" s="407"/>
      <c r="U126" s="252"/>
    </row>
    <row r="127" spans="1:21" ht="12.95">
      <c r="C127" s="394"/>
      <c r="J127" s="59"/>
      <c r="K127" s="59"/>
      <c r="L127" s="59"/>
      <c r="M127" s="59"/>
      <c r="U127" s="252"/>
    </row>
    <row r="128" spans="1:21" ht="12.75" customHeight="1">
      <c r="C128" s="407" t="s">
        <v>121</v>
      </c>
      <c r="D128" s="407"/>
      <c r="E128" s="407"/>
      <c r="F128" s="407"/>
      <c r="G128" s="407"/>
      <c r="H128" s="407"/>
      <c r="I128" s="407"/>
      <c r="J128" s="407"/>
      <c r="K128" s="407"/>
      <c r="L128" s="407"/>
      <c r="M128" s="407"/>
      <c r="N128" s="407"/>
      <c r="O128" s="407"/>
      <c r="P128" s="407"/>
      <c r="Q128" s="407"/>
      <c r="R128" s="407"/>
      <c r="S128" s="60"/>
      <c r="T128" s="60"/>
      <c r="U128" s="252"/>
    </row>
    <row r="129" spans="3:21" ht="12.95">
      <c r="C129" s="394"/>
      <c r="J129" s="59"/>
      <c r="K129" s="59"/>
      <c r="L129" s="59"/>
      <c r="M129" s="59"/>
      <c r="U129" s="252"/>
    </row>
    <row r="130" spans="3:21">
      <c r="U130" s="252"/>
    </row>
    <row r="131" spans="3:21" ht="12.95">
      <c r="C131" s="394"/>
      <c r="H131" s="59"/>
      <c r="I131" s="59"/>
      <c r="U131" s="252"/>
    </row>
    <row r="132" spans="3:21" ht="12.95">
      <c r="C132" s="61"/>
      <c r="D132" s="61"/>
      <c r="E132" s="61"/>
      <c r="F132" s="61"/>
      <c r="G132" s="61"/>
      <c r="H132" s="61"/>
      <c r="I132" s="61"/>
      <c r="J132" s="61"/>
      <c r="K132" s="61"/>
      <c r="L132" s="61"/>
      <c r="M132" s="61"/>
      <c r="N132" s="61"/>
      <c r="O132" s="61"/>
      <c r="P132" s="61"/>
      <c r="Q132" s="61"/>
      <c r="R132" s="61"/>
      <c r="S132" s="61"/>
      <c r="T132" s="61"/>
      <c r="U132" s="252"/>
    </row>
    <row r="133" spans="3:21" ht="12.95">
      <c r="C133" s="394" t="s">
        <v>122</v>
      </c>
      <c r="F133" s="62" t="s">
        <v>123</v>
      </c>
      <c r="I133" s="394"/>
      <c r="J133" s="63"/>
      <c r="K133" s="62" t="s">
        <v>124</v>
      </c>
      <c r="M133" s="59"/>
      <c r="N133" s="59"/>
      <c r="O133" s="64"/>
    </row>
    <row r="134" spans="3:21">
      <c r="C134" s="55" t="s">
        <v>125</v>
      </c>
      <c r="D134" s="68">
        <v>0.318</v>
      </c>
      <c r="E134" s="65"/>
      <c r="F134" s="64"/>
      <c r="G134" s="64"/>
      <c r="J134" s="64"/>
      <c r="M134" s="59"/>
      <c r="N134" s="59"/>
      <c r="O134" s="64"/>
      <c r="U134" s="252"/>
    </row>
    <row r="135" spans="3:21">
      <c r="C135" s="55" t="s">
        <v>126</v>
      </c>
      <c r="D135" s="68">
        <v>0.152</v>
      </c>
      <c r="E135" s="65"/>
      <c r="F135" s="66">
        <v>0.55000000000000004</v>
      </c>
      <c r="G135" s="230" t="s">
        <v>127</v>
      </c>
      <c r="H135" s="231"/>
      <c r="I135" s="232"/>
      <c r="K135" s="235"/>
      <c r="L135" s="231"/>
      <c r="M135" s="236"/>
      <c r="N135" s="237"/>
      <c r="U135" s="252"/>
    </row>
    <row r="136" spans="3:21">
      <c r="C136" s="55" t="s">
        <v>51</v>
      </c>
      <c r="D136" s="68">
        <v>0.36699999999999999</v>
      </c>
      <c r="E136" s="65"/>
      <c r="F136" s="67">
        <v>0.55000000000000004</v>
      </c>
      <c r="G136" s="64" t="s">
        <v>128</v>
      </c>
      <c r="I136" s="233"/>
      <c r="K136" s="229"/>
      <c r="L136" s="55" t="s">
        <v>129</v>
      </c>
      <c r="M136" s="59"/>
      <c r="N136" s="238"/>
      <c r="U136" s="252"/>
    </row>
    <row r="137" spans="3:21">
      <c r="C137" s="55" t="s">
        <v>55</v>
      </c>
      <c r="D137" s="68">
        <v>0.40500000000000003</v>
      </c>
      <c r="E137" s="65"/>
      <c r="F137" s="67">
        <v>0.35</v>
      </c>
      <c r="G137" s="64" t="s">
        <v>130</v>
      </c>
      <c r="I137" s="233"/>
      <c r="K137" s="239"/>
      <c r="M137" s="59"/>
      <c r="N137" s="238"/>
      <c r="U137" s="252"/>
    </row>
    <row r="138" spans="3:21">
      <c r="C138" s="55" t="s">
        <v>131</v>
      </c>
      <c r="D138" s="68">
        <v>0.501</v>
      </c>
      <c r="E138" s="68"/>
      <c r="F138" s="69">
        <v>0.26</v>
      </c>
      <c r="G138" s="70" t="s">
        <v>132</v>
      </c>
      <c r="H138" s="71"/>
      <c r="I138" s="234"/>
      <c r="K138" s="244">
        <f>ROUNDDOWN(K136/N138,4)</f>
        <v>0</v>
      </c>
      <c r="L138" s="55" t="s">
        <v>133</v>
      </c>
      <c r="M138" s="59"/>
      <c r="N138" s="245">
        <f>100-K136</f>
        <v>100</v>
      </c>
      <c r="U138" s="252"/>
    </row>
    <row r="139" spans="3:21">
      <c r="C139" s="55" t="s">
        <v>134</v>
      </c>
      <c r="D139" s="68">
        <v>1.7999999999999999E-2</v>
      </c>
      <c r="E139" s="65"/>
      <c r="F139" s="243"/>
      <c r="G139" s="64"/>
      <c r="K139" s="240"/>
      <c r="L139" s="246" t="s">
        <v>135</v>
      </c>
      <c r="M139" s="241"/>
      <c r="N139" s="242"/>
      <c r="U139" s="252"/>
    </row>
    <row r="140" spans="3:21">
      <c r="C140" s="55" t="s">
        <v>136</v>
      </c>
      <c r="D140" s="68">
        <v>0.124</v>
      </c>
      <c r="E140" s="68"/>
      <c r="G140" s="59"/>
      <c r="H140" s="59"/>
      <c r="U140" s="252"/>
    </row>
    <row r="141" spans="3:21">
      <c r="C141" s="58" t="s">
        <v>137</v>
      </c>
      <c r="D141" s="65">
        <v>6.5000000000000002E-2</v>
      </c>
      <c r="U141" s="252"/>
    </row>
    <row r="142" spans="3:21">
      <c r="C142" s="103" t="s">
        <v>138</v>
      </c>
      <c r="D142" s="65">
        <v>8.1000000000000003E-2</v>
      </c>
      <c r="U142" s="252"/>
    </row>
    <row r="143" spans="3:21">
      <c r="C143" s="103" t="s">
        <v>139</v>
      </c>
      <c r="U143" s="252"/>
    </row>
    <row r="144" spans="3:21">
      <c r="C144"/>
      <c r="U144" s="252"/>
    </row>
    <row r="145" spans="21:21">
      <c r="U145" s="252"/>
    </row>
    <row r="146" spans="21:21">
      <c r="U146" s="252"/>
    </row>
    <row r="147" spans="21:21">
      <c r="U147" s="252"/>
    </row>
  </sheetData>
  <mergeCells count="22">
    <mergeCell ref="E3:F3"/>
    <mergeCell ref="S9:S12"/>
    <mergeCell ref="T9:T12"/>
    <mergeCell ref="S1:T1"/>
    <mergeCell ref="H9:I9"/>
    <mergeCell ref="J9:K9"/>
    <mergeCell ref="L9:M9"/>
    <mergeCell ref="N9:O9"/>
    <mergeCell ref="P9:Q9"/>
    <mergeCell ref="R9:R12"/>
    <mergeCell ref="S2:T2"/>
    <mergeCell ref="C128:R128"/>
    <mergeCell ref="D71:G71"/>
    <mergeCell ref="D72:G72"/>
    <mergeCell ref="D75:G75"/>
    <mergeCell ref="C126:R126"/>
    <mergeCell ref="D76:G76"/>
    <mergeCell ref="D77:G77"/>
    <mergeCell ref="E112:G112"/>
    <mergeCell ref="D74:G74"/>
    <mergeCell ref="D93:E96"/>
    <mergeCell ref="D97:E97"/>
  </mergeCells>
  <phoneticPr fontId="5" type="noConversion"/>
  <dataValidations count="3">
    <dataValidation allowBlank="1" showInputMessage="1" showErrorMessage="1" promptTitle="Reminder" prompt="Postdoc minimum can be found at http://www.grad-college.iastate.edu/post_doc/policies.php" sqref="D26" xr:uid="{00000000-0002-0000-0000-000000000000}"/>
    <dataValidation type="list" allowBlank="1" showInputMessage="1" showErrorMessage="1" sqref="G5" xr:uid="{00000000-0002-0000-0000-000001000000}">
      <formula1>FA_RATE</formula1>
    </dataValidation>
    <dataValidation type="list" allowBlank="1" showInputMessage="1" showErrorMessage="1" sqref="G6" xr:uid="{00000000-0002-0000-0000-000002000000}">
      <formula1>$V$4:$V$5</formula1>
    </dataValidation>
  </dataValidations>
  <hyperlinks>
    <hyperlink ref="D74" r:id="rId1" xr:uid="{00000000-0004-0000-0000-000001000000}"/>
    <hyperlink ref="D93" r:id="rId2" xr:uid="{00000000-0004-0000-0000-000002000000}"/>
  </hyperlinks>
  <printOptions horizontalCentered="1"/>
  <pageMargins left="0.75" right="0.75" top="1" bottom="1" header="0.5" footer="0.5"/>
  <pageSetup scale="29" orientation="landscape" horizontalDpi="1200" verticalDpi="1200" r:id="rId3"/>
  <headerFooter alignWithMargins="0"/>
  <ignoredErrors>
    <ignoredError sqref="H4" unlockedFormula="1"/>
  </ignoredErrors>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M82"/>
  <sheetViews>
    <sheetView topLeftCell="F1" workbookViewId="0">
      <selection activeCell="K21" sqref="K21"/>
    </sheetView>
  </sheetViews>
  <sheetFormatPr defaultColWidth="16.42578125" defaultRowHeight="12.6"/>
  <cols>
    <col min="1" max="1" width="25.85546875" style="104" bestFit="1" customWidth="1"/>
    <col min="2" max="2" width="11" style="104" customWidth="1"/>
    <col min="3" max="3" width="11.42578125" style="104" hidden="1" customWidth="1"/>
    <col min="4" max="4" width="24.140625" style="104" customWidth="1"/>
    <col min="5" max="5" width="16.42578125" style="104" bestFit="1" customWidth="1"/>
    <col min="6" max="6" width="11.85546875" style="104" bestFit="1" customWidth="1"/>
    <col min="7" max="7" width="13.85546875" style="104" hidden="1" customWidth="1"/>
    <col min="8" max="8" width="9" style="104" bestFit="1" customWidth="1"/>
    <col min="9" max="9" width="15.140625" style="104" bestFit="1" customWidth="1"/>
    <col min="10" max="10" width="14" style="104" bestFit="1" customWidth="1"/>
    <col min="11" max="11" width="26.85546875" style="104" bestFit="1" customWidth="1"/>
    <col min="12" max="12" width="13.140625" style="104" bestFit="1" customWidth="1"/>
    <col min="13" max="13" width="11.42578125" style="104" bestFit="1" customWidth="1"/>
    <col min="14" max="16384" width="16.42578125" style="104"/>
  </cols>
  <sheetData>
    <row r="1" spans="1:13" ht="12.95">
      <c r="D1" s="160" t="s">
        <v>140</v>
      </c>
    </row>
    <row r="3" spans="1:13" ht="12.95">
      <c r="A3" s="160" t="s">
        <v>141</v>
      </c>
      <c r="B3" s="104" t="s">
        <v>142</v>
      </c>
    </row>
    <row r="4" spans="1:13" ht="12.95">
      <c r="A4" s="160"/>
      <c r="B4" s="104" t="s">
        <v>143</v>
      </c>
    </row>
    <row r="5" spans="1:13" ht="12.95">
      <c r="A5" s="160"/>
    </row>
    <row r="6" spans="1:13" ht="12.95" hidden="1">
      <c r="A6" s="160"/>
      <c r="B6" s="104" t="s">
        <v>144</v>
      </c>
    </row>
    <row r="7" spans="1:13" ht="12.95" hidden="1">
      <c r="A7" s="160"/>
      <c r="B7" s="104" t="s">
        <v>145</v>
      </c>
    </row>
    <row r="8" spans="1:13" ht="12.95" hidden="1">
      <c r="A8" s="160"/>
    </row>
    <row r="9" spans="1:13" ht="12.95">
      <c r="A9" s="160"/>
      <c r="B9" s="104" t="s">
        <v>146</v>
      </c>
    </row>
    <row r="10" spans="1:13" ht="13.5" thickBot="1">
      <c r="A10" s="160"/>
    </row>
    <row r="11" spans="1:13" ht="12.95">
      <c r="A11" s="160"/>
      <c r="B11" s="159"/>
      <c r="C11" s="158"/>
      <c r="D11" s="157" t="s">
        <v>147</v>
      </c>
      <c r="E11" s="158"/>
      <c r="F11" s="158"/>
      <c r="G11" s="158"/>
      <c r="H11" s="158"/>
      <c r="I11" s="157" t="s">
        <v>148</v>
      </c>
    </row>
    <row r="12" spans="1:13" ht="13.5" thickBot="1">
      <c r="A12" s="156" t="s">
        <v>149</v>
      </c>
      <c r="B12" s="155"/>
      <c r="C12" s="154"/>
      <c r="D12" s="153">
        <f>D22+D32+D42+D52+D62+D72+D82</f>
        <v>362556.16416666668</v>
      </c>
      <c r="E12" s="154"/>
      <c r="F12" s="154"/>
      <c r="G12" s="154"/>
      <c r="H12" s="154"/>
      <c r="I12" s="153">
        <f>I22+I32+I42+I52+I62+I72+I82</f>
        <v>192154.76700833335</v>
      </c>
    </row>
    <row r="15" spans="1:13" ht="26.45" thickBot="1">
      <c r="A15" s="142" t="s">
        <v>150</v>
      </c>
      <c r="B15" s="139" t="s">
        <v>151</v>
      </c>
      <c r="C15" s="140" t="s">
        <v>152</v>
      </c>
      <c r="D15" s="141" t="s">
        <v>153</v>
      </c>
      <c r="E15" s="140" t="s">
        <v>152</v>
      </c>
      <c r="F15" s="140"/>
      <c r="G15" s="140" t="s">
        <v>152</v>
      </c>
      <c r="I15" s="140" t="s">
        <v>152</v>
      </c>
      <c r="J15" s="140" t="s">
        <v>152</v>
      </c>
      <c r="K15" s="152" t="s">
        <v>154</v>
      </c>
    </row>
    <row r="16" spans="1:13" ht="13.5" thickBot="1">
      <c r="B16" s="139" t="s">
        <v>155</v>
      </c>
      <c r="C16" s="116" t="s">
        <v>156</v>
      </c>
      <c r="D16" s="138" t="s">
        <v>157</v>
      </c>
      <c r="E16" s="137" t="s">
        <v>158</v>
      </c>
      <c r="F16" s="116" t="s">
        <v>159</v>
      </c>
      <c r="G16" s="116" t="s">
        <v>160</v>
      </c>
      <c r="H16" s="136" t="s">
        <v>161</v>
      </c>
      <c r="I16" s="136" t="s">
        <v>162</v>
      </c>
      <c r="J16" s="135" t="s">
        <v>163</v>
      </c>
      <c r="K16" s="150" t="s">
        <v>164</v>
      </c>
      <c r="L16" s="151" t="s">
        <v>165</v>
      </c>
      <c r="M16" s="150" t="s">
        <v>166</v>
      </c>
    </row>
    <row r="17" spans="1:13" ht="13.5" thickBot="1">
      <c r="A17" s="134" t="s">
        <v>167</v>
      </c>
      <c r="B17" s="128">
        <f>Summary!H11</f>
        <v>46204</v>
      </c>
      <c r="C17" s="133">
        <f>ROUND(IF((B17=0),0,(B18-B17))/30,0)</f>
        <v>12</v>
      </c>
      <c r="D17" s="132">
        <f>Summary!H108</f>
        <v>119404.16416666668</v>
      </c>
      <c r="E17" s="131">
        <f>IF(ISERROR(D17/F22),0,(D17/F22))</f>
        <v>327.13469634703199</v>
      </c>
      <c r="F17" s="124">
        <f>IF(OR($B$18&lt;$K17,$B$17&gt;$L17),0,(MIN($B$18,$L17)-MAX($B$17,$K17)+1))</f>
        <v>0</v>
      </c>
      <c r="G17" s="124">
        <f>ROUND(IF(ISERROR(F17/365),0,(F17/365)*12),2)</f>
        <v>0</v>
      </c>
      <c r="H17" s="123">
        <f>IF(OR($B$18&lt;$K17,$B$17&gt;$L17),0,M17)</f>
        <v>0</v>
      </c>
      <c r="I17" s="122">
        <f>(F17*$E$17)*H17</f>
        <v>0</v>
      </c>
      <c r="J17" s="121">
        <f>IF(ISERROR(I17/H17),0,(I17/H17))</f>
        <v>0</v>
      </c>
      <c r="K17" s="149">
        <v>42552</v>
      </c>
      <c r="L17" s="149">
        <v>42916</v>
      </c>
      <c r="M17" s="148">
        <v>0.52</v>
      </c>
    </row>
    <row r="18" spans="1:13" ht="13.5" thickBot="1">
      <c r="A18" s="129" t="s">
        <v>168</v>
      </c>
      <c r="B18" s="128">
        <f>Summary!I11</f>
        <v>46568</v>
      </c>
      <c r="C18" s="145"/>
      <c r="D18" s="126"/>
      <c r="E18" s="125"/>
      <c r="F18" s="124">
        <f>IF(OR($B$18&lt;$K18,$B$17&gt;$L18),0,(MIN($B$18,$L18)-MAX($B$17,$K18)+1))</f>
        <v>0</v>
      </c>
      <c r="G18" s="124">
        <f>ROUND(IF(ISERROR(F18/365),0,(F18/365)*12),2)</f>
        <v>0</v>
      </c>
      <c r="H18" s="123">
        <f>IF(OR($B$18&lt;$K18,$B$17&gt;$L18),0,M18)</f>
        <v>0</v>
      </c>
      <c r="I18" s="122">
        <f>(F18*$E$17)*H18</f>
        <v>0</v>
      </c>
      <c r="J18" s="121">
        <f>IF(ISERROR(I18/H18),0,(I18/H18))</f>
        <v>0</v>
      </c>
      <c r="K18" s="149">
        <v>42917</v>
      </c>
      <c r="L18" s="149">
        <v>43281</v>
      </c>
      <c r="M18" s="148">
        <v>0.52</v>
      </c>
    </row>
    <row r="19" spans="1:13">
      <c r="C19" s="145"/>
      <c r="D19" s="126"/>
      <c r="E19" s="125"/>
      <c r="F19" s="124">
        <f>IF(OR($B$18&lt;$K19,$B$17&gt;$L19),0,(MIN($B$18,$L19)-MAX($B$17,$K19)+1))</f>
        <v>0</v>
      </c>
      <c r="G19" s="124">
        <f>ROUND(IF(ISERROR(F19/365),0,(F19/365)*12),2)</f>
        <v>0</v>
      </c>
      <c r="H19" s="123">
        <f>IF(OR($B$18&lt;$K19,$B$17&gt;$L19),0,M19)</f>
        <v>0</v>
      </c>
      <c r="I19" s="122">
        <f>(F19*$E$17)*H19</f>
        <v>0</v>
      </c>
      <c r="J19" s="121">
        <f>IF(ISERROR(I19/H19),0,(I19/H19))</f>
        <v>0</v>
      </c>
      <c r="K19" s="149">
        <v>43282</v>
      </c>
      <c r="L19" s="149">
        <v>43646</v>
      </c>
      <c r="M19" s="148">
        <v>0.53</v>
      </c>
    </row>
    <row r="20" spans="1:13">
      <c r="C20" s="127"/>
      <c r="D20" s="126"/>
      <c r="E20" s="125"/>
      <c r="F20" s="124">
        <f>IF(OR($B$18&lt;$K20,$B$17&gt;$L20),0,(MIN($B$18,$L20)-MAX($B$17,$K20)+1))</f>
        <v>0</v>
      </c>
      <c r="G20" s="124">
        <f>ROUND(IF(ISERROR(F20/365),0,(F20/365)*12),2)</f>
        <v>0</v>
      </c>
      <c r="H20" s="123">
        <f>IF(OR($B$18&lt;$K20,$B$17&gt;$L20),0,M20)</f>
        <v>0</v>
      </c>
      <c r="I20" s="122">
        <f>(F20*$E$17)*H20</f>
        <v>0</v>
      </c>
      <c r="J20" s="121">
        <f>IF(ISERROR(I20/H20),0,(I20/H20))</f>
        <v>0</v>
      </c>
      <c r="K20" s="149">
        <v>43647</v>
      </c>
      <c r="L20" s="149">
        <v>44012</v>
      </c>
      <c r="M20" s="148">
        <v>0.53</v>
      </c>
    </row>
    <row r="21" spans="1:13">
      <c r="B21" s="120"/>
      <c r="C21" s="119"/>
      <c r="D21" s="118"/>
      <c r="E21" s="117"/>
      <c r="F21" s="116">
        <f>IF(OR($B$18&lt;$K21,$B$17&gt;$L21),0,(MIN($B$18,$L21)-MAX($B$17,$K21)+1))</f>
        <v>365</v>
      </c>
      <c r="G21" s="116">
        <f>ROUND(IF(ISERROR(F21/365),0,(F21/365)*12),2)</f>
        <v>12</v>
      </c>
      <c r="H21" s="115">
        <f>IF(OR($B$18&lt;$K21,$B$17&gt;$L21),0,M21)</f>
        <v>0.53</v>
      </c>
      <c r="I21" s="114">
        <f>(F21*$E$17)*H21</f>
        <v>63284.207008333346</v>
      </c>
      <c r="J21" s="113">
        <f>IF(ISERROR(I21/H21),0,(I21/H21))</f>
        <v>119404.16416666668</v>
      </c>
      <c r="K21" s="149">
        <v>44013</v>
      </c>
      <c r="L21" s="149">
        <v>47664</v>
      </c>
      <c r="M21" s="148">
        <v>0.53</v>
      </c>
    </row>
    <row r="22" spans="1:13" ht="12.95">
      <c r="B22" s="112" t="s">
        <v>169</v>
      </c>
      <c r="C22" s="111"/>
      <c r="D22" s="110">
        <f>SUM(D17:D21)</f>
        <v>119404.16416666668</v>
      </c>
      <c r="E22" s="109"/>
      <c r="F22" s="108">
        <f>SUM(F17:F21)</f>
        <v>365</v>
      </c>
      <c r="G22" s="108">
        <f>SUM(G17:G21)</f>
        <v>12</v>
      </c>
      <c r="H22" s="107">
        <f>AVERAGEIF(H17:H21,"&lt;&gt;0")</f>
        <v>0.53</v>
      </c>
      <c r="I22" s="106">
        <f>SUM(I17:I21)</f>
        <v>63284.207008333346</v>
      </c>
      <c r="J22" s="105">
        <f>SUM(J17:J21)</f>
        <v>119404.16416666668</v>
      </c>
      <c r="K22" s="147"/>
      <c r="L22" s="147"/>
      <c r="M22" s="147"/>
    </row>
    <row r="23" spans="1:13">
      <c r="F23" s="127"/>
      <c r="G23" s="140"/>
    </row>
    <row r="24" spans="1:13" ht="14.25" customHeight="1">
      <c r="F24" s="140"/>
      <c r="G24" s="140"/>
    </row>
    <row r="25" spans="1:13" ht="18" customHeight="1" thickBot="1">
      <c r="A25" s="142" t="s">
        <v>170</v>
      </c>
      <c r="B25" s="139" t="s">
        <v>151</v>
      </c>
      <c r="C25" s="140" t="s">
        <v>152</v>
      </c>
      <c r="D25" s="141" t="s">
        <v>153</v>
      </c>
      <c r="E25" s="140" t="s">
        <v>152</v>
      </c>
      <c r="F25" s="140"/>
      <c r="G25" s="140" t="s">
        <v>152</v>
      </c>
      <c r="I25" s="140" t="s">
        <v>152</v>
      </c>
      <c r="J25" s="140" t="s">
        <v>152</v>
      </c>
    </row>
    <row r="26" spans="1:13" ht="13.5" thickBot="1">
      <c r="B26" s="139" t="s">
        <v>155</v>
      </c>
      <c r="C26" s="146" t="s">
        <v>156</v>
      </c>
      <c r="D26" s="138" t="s">
        <v>157</v>
      </c>
      <c r="E26" s="137" t="s">
        <v>158</v>
      </c>
      <c r="F26" s="116" t="s">
        <v>159</v>
      </c>
      <c r="G26" s="116" t="s">
        <v>160</v>
      </c>
      <c r="H26" s="136" t="s">
        <v>161</v>
      </c>
      <c r="I26" s="136" t="s">
        <v>162</v>
      </c>
      <c r="J26" s="135" t="s">
        <v>163</v>
      </c>
    </row>
    <row r="27" spans="1:13" ht="13.5" thickBot="1">
      <c r="A27" s="134" t="s">
        <v>167</v>
      </c>
      <c r="B27" s="128">
        <f>Summary!J11</f>
        <v>46569</v>
      </c>
      <c r="C27" s="133">
        <f>ROUND(IF((B27=0),0,(B28-B27))/30,0)</f>
        <v>12</v>
      </c>
      <c r="D27" s="132">
        <f>Summary!J108</f>
        <v>119303</v>
      </c>
      <c r="E27" s="131">
        <f>IF(ISERROR(D27/F32),0,(D27/F32))</f>
        <v>325.96448087431696</v>
      </c>
      <c r="F27" s="124">
        <f>IF(OR($B$28&lt;$K17,$B$27&gt;$L17),0,(MIN($B$28,$L17)-MAX($B$27,$K17)+1))</f>
        <v>0</v>
      </c>
      <c r="G27" s="124">
        <f>ROUND(IF(ISERROR(F27/365),0,(F27/365))*12,0)</f>
        <v>0</v>
      </c>
      <c r="H27" s="123">
        <f>IF(OR($B$28&lt;$K17,$B$27&gt;$L17),0,M17)</f>
        <v>0</v>
      </c>
      <c r="I27" s="122">
        <f>(F27*$E$27)*H27</f>
        <v>0</v>
      </c>
      <c r="J27" s="121">
        <f>IF(ISERROR(I27/H27),0,(I27/H27))</f>
        <v>0</v>
      </c>
    </row>
    <row r="28" spans="1:13" ht="13.5" thickBot="1">
      <c r="A28" s="129" t="s">
        <v>168</v>
      </c>
      <c r="B28" s="128">
        <f>Summary!K11</f>
        <v>46934</v>
      </c>
      <c r="D28" s="126"/>
      <c r="E28" s="125"/>
      <c r="F28" s="124">
        <f>IF(OR($B$28&lt;$K18,$B$27&gt;$L18),0,(MIN($B$28,$L18)-MAX($B$27,$K18)+1))</f>
        <v>0</v>
      </c>
      <c r="G28" s="124">
        <f>ROUND(IF(ISERROR(F28/365),0,(F28/365))*12,0)</f>
        <v>0</v>
      </c>
      <c r="H28" s="123">
        <f>IF(OR($B$28&lt;$K18,$B$27&gt;$L18),0,M18)</f>
        <v>0</v>
      </c>
      <c r="I28" s="122">
        <f>(F28*$E$27)*H28</f>
        <v>0</v>
      </c>
      <c r="J28" s="121">
        <f>IF(ISERROR(I28/H28),0,(I28/H28))</f>
        <v>0</v>
      </c>
    </row>
    <row r="29" spans="1:13">
      <c r="C29" s="127"/>
      <c r="D29" s="126"/>
      <c r="E29" s="125"/>
      <c r="F29" s="124">
        <f>IF(OR($B$28&lt;$K19,$B$27&gt;$L19),0,(MIN($B$28,$L19)-MAX($B$27,$K19)+1))</f>
        <v>0</v>
      </c>
      <c r="G29" s="124">
        <f>ROUND(IF(ISERROR(F29/365),0,(F29/365))*12,0)</f>
        <v>0</v>
      </c>
      <c r="H29" s="123">
        <f>IF(OR($B$28&lt;$K19,$B$27&gt;$L19),0,M19)</f>
        <v>0</v>
      </c>
      <c r="I29" s="122">
        <f>(F29*$E$27)*H29</f>
        <v>0</v>
      </c>
      <c r="J29" s="121">
        <f>IF(ISERROR(I29/H29),0,(I29/H29))</f>
        <v>0</v>
      </c>
    </row>
    <row r="30" spans="1:13">
      <c r="C30" s="127"/>
      <c r="D30" s="126"/>
      <c r="E30" s="125"/>
      <c r="F30" s="124">
        <f>IF(OR($B$28&lt;$K20,$B$27&gt;$L20),0,(MIN($B$28,$L20)-MAX($B$27,$K20)+1))</f>
        <v>0</v>
      </c>
      <c r="G30" s="124">
        <f>ROUND(IF(ISERROR(F30/365),0,(F30/365))*12,0)</f>
        <v>0</v>
      </c>
      <c r="H30" s="123">
        <f>IF(OR($B$28&lt;$K20,$B$27&gt;$L20),0,M20)</f>
        <v>0</v>
      </c>
      <c r="I30" s="122">
        <f>(F30*$E$27)*H30</f>
        <v>0</v>
      </c>
      <c r="J30" s="121">
        <f>IF(ISERROR(I30/H30),0,(I30/H30))</f>
        <v>0</v>
      </c>
    </row>
    <row r="31" spans="1:13">
      <c r="B31" s="120"/>
      <c r="C31" s="119"/>
      <c r="D31" s="118"/>
      <c r="E31" s="117"/>
      <c r="F31" s="116">
        <f>IF(OR($B$28&lt;$K21,$B$27&gt;$L21),0,(MIN($B$28,$L21)-MAX($B$27,$K21)+1))</f>
        <v>366</v>
      </c>
      <c r="G31" s="116">
        <f>ROUND(IF(ISERROR(F31/365),0,(F31/365))*12,0)</f>
        <v>12</v>
      </c>
      <c r="H31" s="115">
        <f>IF(OR($B$28&lt;$K21,$B$27&gt;$L21),0,M21)</f>
        <v>0.53</v>
      </c>
      <c r="I31" s="114">
        <f>(F31*$E$27)*H31</f>
        <v>63230.590000000011</v>
      </c>
      <c r="J31" s="113">
        <f>IF(ISERROR(I31/H31),0,(I31/H31))</f>
        <v>119303.00000000001</v>
      </c>
    </row>
    <row r="32" spans="1:13" ht="12.95">
      <c r="B32" s="112" t="s">
        <v>169</v>
      </c>
      <c r="C32" s="111"/>
      <c r="D32" s="110">
        <f>SUM(D27:D31)</f>
        <v>119303</v>
      </c>
      <c r="E32" s="109"/>
      <c r="F32" s="108">
        <f>SUM(F27:F31)</f>
        <v>366</v>
      </c>
      <c r="G32" s="108">
        <f>SUM(G27:G31)</f>
        <v>12</v>
      </c>
      <c r="H32" s="107">
        <f>AVERAGEIF(H27:H31,"&lt;&gt;0")</f>
        <v>0.53</v>
      </c>
      <c r="I32" s="106">
        <f>SUM(I27:I31)</f>
        <v>63230.590000000011</v>
      </c>
      <c r="J32" s="105">
        <f>SUM(J27:J31)</f>
        <v>119303.00000000001</v>
      </c>
      <c r="K32" s="143"/>
    </row>
    <row r="33" spans="1:12">
      <c r="F33" s="140"/>
      <c r="K33" s="143"/>
    </row>
    <row r="34" spans="1:12">
      <c r="C34" s="145"/>
      <c r="F34" s="140"/>
      <c r="K34" s="143"/>
    </row>
    <row r="35" spans="1:12" ht="13.5" thickBot="1">
      <c r="A35" s="142" t="s">
        <v>171</v>
      </c>
      <c r="B35" s="139" t="s">
        <v>151</v>
      </c>
      <c r="C35" s="140" t="s">
        <v>152</v>
      </c>
      <c r="D35" s="141" t="s">
        <v>153</v>
      </c>
      <c r="E35" s="140" t="s">
        <v>152</v>
      </c>
      <c r="F35" s="140"/>
      <c r="G35" s="140" t="s">
        <v>152</v>
      </c>
      <c r="I35" s="140" t="s">
        <v>152</v>
      </c>
      <c r="J35" s="140" t="s">
        <v>152</v>
      </c>
    </row>
    <row r="36" spans="1:12" ht="13.5" thickBot="1">
      <c r="B36" s="139" t="s">
        <v>155</v>
      </c>
      <c r="C36" s="116" t="s">
        <v>156</v>
      </c>
      <c r="D36" s="138" t="s">
        <v>157</v>
      </c>
      <c r="E36" s="137" t="s">
        <v>158</v>
      </c>
      <c r="F36" s="116" t="s">
        <v>159</v>
      </c>
      <c r="G36" s="116" t="s">
        <v>160</v>
      </c>
      <c r="H36" s="136" t="s">
        <v>161</v>
      </c>
      <c r="I36" s="136" t="s">
        <v>162</v>
      </c>
      <c r="J36" s="135" t="s">
        <v>163</v>
      </c>
    </row>
    <row r="37" spans="1:12" ht="13.5" thickBot="1">
      <c r="A37" s="134" t="s">
        <v>167</v>
      </c>
      <c r="B37" s="128">
        <f>Summary!L11</f>
        <v>46935</v>
      </c>
      <c r="C37" s="133">
        <f>ROUND(IF((B37=0),0,(B38-B37))/30,0)</f>
        <v>12</v>
      </c>
      <c r="D37" s="132">
        <f>Summary!L108</f>
        <v>123849</v>
      </c>
      <c r="E37" s="131">
        <f>IF(ISERROR(D37/F42),0,(D37/F42))</f>
        <v>339.31232876712329</v>
      </c>
      <c r="F37" s="130">
        <f>IF(OR($B$38&lt;$K17,$B$37&gt;$L17),0,(MIN($B$38,$L17)-MAX($B$37,$K17)+1))</f>
        <v>0</v>
      </c>
      <c r="G37" s="124">
        <f>ROUND(IF(ISERROR(F37/365),0,(F37/365))*12,0)</f>
        <v>0</v>
      </c>
      <c r="H37" s="123">
        <f>IF(OR($B$38&lt;$K17,$B$37&gt;$L17),0,M17)</f>
        <v>0</v>
      </c>
      <c r="I37" s="122">
        <f>(F37*$E$37)*H37</f>
        <v>0</v>
      </c>
      <c r="J37" s="121">
        <f>IF(ISERROR(I37/H37),0,(I37/H37))</f>
        <v>0</v>
      </c>
    </row>
    <row r="38" spans="1:12" ht="13.5" thickBot="1">
      <c r="A38" s="129" t="s">
        <v>168</v>
      </c>
      <c r="B38" s="128">
        <f>Summary!M11</f>
        <v>47299</v>
      </c>
      <c r="D38" s="126"/>
      <c r="E38" s="125"/>
      <c r="F38" s="124">
        <f>IF(OR($B$38&lt;$K18,$B$37&gt;$L18),0,(MIN($B$38,$L18)-MAX($B$37,$K18)+1))</f>
        <v>0</v>
      </c>
      <c r="G38" s="124">
        <f>ROUND(IF(ISERROR(F38/365),0,(F38/365))*12,0)</f>
        <v>0</v>
      </c>
      <c r="H38" s="123">
        <f>IF(OR($B$38&lt;$K18,$B$37&gt;$L18),0,M18)</f>
        <v>0</v>
      </c>
      <c r="I38" s="122">
        <f>(F38*$E$37)*H38</f>
        <v>0</v>
      </c>
      <c r="J38" s="121">
        <f>IF(ISERROR(I38/H38),0,(I38/H38))</f>
        <v>0</v>
      </c>
      <c r="K38" s="143"/>
      <c r="L38" s="143"/>
    </row>
    <row r="39" spans="1:12">
      <c r="C39" s="127"/>
      <c r="D39" s="126"/>
      <c r="E39" s="125"/>
      <c r="F39" s="124">
        <f>IF(OR($B$38&lt;$K19,$B$37&gt;$L19),0,(MIN($B$38,$L19)-MAX($B$37,$K19)+1))</f>
        <v>0</v>
      </c>
      <c r="G39" s="124">
        <f>ROUND(IF(ISERROR(F39/365),0,(F39/365))*12,0)</f>
        <v>0</v>
      </c>
      <c r="H39" s="123">
        <f>IF(OR($B$38&lt;$K19,$B$37&gt;$L19),0,M19)</f>
        <v>0</v>
      </c>
      <c r="I39" s="122">
        <f>(F39*$E$37)*H39</f>
        <v>0</v>
      </c>
      <c r="J39" s="121">
        <f>IF(ISERROR(I39/H39),0,(I39/H39))</f>
        <v>0</v>
      </c>
      <c r="K39" s="143"/>
      <c r="L39" s="143"/>
    </row>
    <row r="40" spans="1:12">
      <c r="C40" s="127"/>
      <c r="D40" s="126"/>
      <c r="E40" s="125"/>
      <c r="F40" s="124">
        <f>IF(OR($B$38&lt;$K20,$B$37&gt;$L20),0,(MIN($B$38,$L20)-MAX($B$37,$K20)+1))</f>
        <v>0</v>
      </c>
      <c r="G40" s="124">
        <f>ROUND(IF(ISERROR(F40/365),0,(F40/365))*12,0)</f>
        <v>0</v>
      </c>
      <c r="H40" s="123">
        <f>IF(OR($B$38&lt;$K20,$B$37&gt;$L20),0,M20)</f>
        <v>0</v>
      </c>
      <c r="I40" s="122">
        <f>(F40*$E$37)*H40</f>
        <v>0</v>
      </c>
      <c r="J40" s="121">
        <f>IF(ISERROR(I40/H40),0,(I40/H40))</f>
        <v>0</v>
      </c>
      <c r="K40" s="143"/>
      <c r="L40" s="143"/>
    </row>
    <row r="41" spans="1:12">
      <c r="B41" s="120"/>
      <c r="C41" s="119"/>
      <c r="D41" s="118"/>
      <c r="E41" s="117"/>
      <c r="F41" s="116">
        <f>IF(OR($B$38&lt;$K21,$B$37&gt;$L21),0,(MIN($B$38,$L21)-MAX($B$37,$K21)+1))</f>
        <v>365</v>
      </c>
      <c r="G41" s="116">
        <f>ROUND(IF(ISERROR(F41/365),0,(F41/365))*12,0)</f>
        <v>12</v>
      </c>
      <c r="H41" s="115">
        <f>IF(OR($B$38&lt;$K21,$B$37&gt;$L21),0,M21)</f>
        <v>0.53</v>
      </c>
      <c r="I41" s="114">
        <f>(F41*$E$37)*H41</f>
        <v>65639.97</v>
      </c>
      <c r="J41" s="113">
        <f>IF(ISERROR(I41/H41),0,(I41/H41))</f>
        <v>123849</v>
      </c>
    </row>
    <row r="42" spans="1:12" ht="12.95">
      <c r="B42" s="112" t="s">
        <v>169</v>
      </c>
      <c r="C42" s="111"/>
      <c r="D42" s="110">
        <f>SUM(D37:D41)</f>
        <v>123849</v>
      </c>
      <c r="E42" s="109"/>
      <c r="F42" s="108">
        <f>SUM(F37:F41)</f>
        <v>365</v>
      </c>
      <c r="G42" s="108">
        <f>SUM(G37:G41)</f>
        <v>12</v>
      </c>
      <c r="H42" s="107">
        <f>AVERAGEIF(H37:H41,"&lt;&gt;0")</f>
        <v>0.53</v>
      </c>
      <c r="I42" s="106">
        <f>SUM(I37:I41)</f>
        <v>65639.97</v>
      </c>
      <c r="J42" s="105">
        <f>SUM(J37:J41)</f>
        <v>123849</v>
      </c>
      <c r="K42" s="143"/>
    </row>
    <row r="43" spans="1:12">
      <c r="F43" s="140"/>
      <c r="K43" s="143"/>
    </row>
    <row r="44" spans="1:12">
      <c r="F44" s="140"/>
    </row>
    <row r="45" spans="1:12" ht="13.5" thickBot="1">
      <c r="A45" s="142" t="s">
        <v>172</v>
      </c>
      <c r="B45" s="139" t="s">
        <v>151</v>
      </c>
      <c r="C45" s="140" t="s">
        <v>152</v>
      </c>
      <c r="D45" s="141" t="s">
        <v>153</v>
      </c>
      <c r="E45" s="140" t="s">
        <v>152</v>
      </c>
      <c r="F45" s="140"/>
      <c r="G45" s="140" t="s">
        <v>152</v>
      </c>
      <c r="I45" s="140" t="s">
        <v>152</v>
      </c>
      <c r="J45" s="140" t="s">
        <v>152</v>
      </c>
      <c r="K45" s="143"/>
    </row>
    <row r="46" spans="1:12" ht="13.5" thickBot="1">
      <c r="B46" s="139" t="s">
        <v>155</v>
      </c>
      <c r="C46" s="116" t="s">
        <v>156</v>
      </c>
      <c r="D46" s="138" t="s">
        <v>157</v>
      </c>
      <c r="E46" s="137" t="s">
        <v>158</v>
      </c>
      <c r="F46" s="116" t="s">
        <v>159</v>
      </c>
      <c r="G46" s="116" t="s">
        <v>160</v>
      </c>
      <c r="H46" s="136" t="s">
        <v>161</v>
      </c>
      <c r="I46" s="136" t="s">
        <v>162</v>
      </c>
      <c r="J46" s="135" t="s">
        <v>163</v>
      </c>
    </row>
    <row r="47" spans="1:12" ht="13.5" thickBot="1">
      <c r="A47" s="134" t="s">
        <v>167</v>
      </c>
      <c r="B47" s="128">
        <f>Summary!N11</f>
        <v>47300</v>
      </c>
      <c r="C47" s="133">
        <f>ROUND(IF((B47=0),0,(B48-B47))/30,0)</f>
        <v>12</v>
      </c>
      <c r="D47" s="132">
        <f>Summary!N108</f>
        <v>0</v>
      </c>
      <c r="E47" s="131">
        <f>IF(ISERROR(D47/F52),0,(D47/F52))</f>
        <v>0</v>
      </c>
      <c r="F47" s="130">
        <f>IF(OR($B$48&lt;$K17,$B$47&gt;$L17),0,(MIN($B$48,$L17)-MAX($B$47,$K17)+1))</f>
        <v>0</v>
      </c>
      <c r="G47" s="124">
        <f>ROUND(IF(ISERROR(F47/365),0,(F47/365))*12,0)</f>
        <v>0</v>
      </c>
      <c r="H47" s="123">
        <f>IF(OR($B$48&lt;$K17,$B$47&gt;$L17),0,M17)</f>
        <v>0</v>
      </c>
      <c r="I47" s="122">
        <f>(F47*$E$47)*H47</f>
        <v>0</v>
      </c>
      <c r="J47" s="121">
        <f>IF(ISERROR(I47/H47),0,(I47/H47))</f>
        <v>0</v>
      </c>
    </row>
    <row r="48" spans="1:12" ht="13.5" thickBot="1">
      <c r="A48" s="129" t="s">
        <v>168</v>
      </c>
      <c r="B48" s="128">
        <f>Summary!O11</f>
        <v>47664</v>
      </c>
      <c r="D48" s="126"/>
      <c r="E48" s="125"/>
      <c r="F48" s="124">
        <f>IF(OR($B$48&lt;$K18,$B$47&gt;$L18),0,(MIN($B$48,$L18)-MAX($B$47,$K18)+1))</f>
        <v>0</v>
      </c>
      <c r="G48" s="124">
        <f>ROUND(IF(ISERROR(F48/365),0,(F48/365))*12,0)</f>
        <v>0</v>
      </c>
      <c r="H48" s="123">
        <f>IF(OR($B$48&lt;$K18,$B$47&gt;$L18),0,M18)</f>
        <v>0</v>
      </c>
      <c r="I48" s="122">
        <f>(F48*$E$47)*H48</f>
        <v>0</v>
      </c>
      <c r="J48" s="121">
        <f>IF(ISERROR(I48/H48),0,(I48/H48))</f>
        <v>0</v>
      </c>
      <c r="K48" s="144"/>
    </row>
    <row r="49" spans="1:11">
      <c r="C49" s="127"/>
      <c r="D49" s="126"/>
      <c r="E49" s="125"/>
      <c r="F49" s="124">
        <f>IF(OR($B$48&lt;$K19,$B$47&gt;$L19),0,(MIN($B$48,$L19)-MAX($B$47,$K19)+1))</f>
        <v>0</v>
      </c>
      <c r="G49" s="124">
        <f>ROUND(IF(ISERROR(F49/365),0,(F49/365))*12,0)</f>
        <v>0</v>
      </c>
      <c r="H49" s="123">
        <f>IF(OR($B$48&lt;$K19,$B$47&gt;$L19),0,M19)</f>
        <v>0</v>
      </c>
      <c r="I49" s="122">
        <f>(F49*$E$47)*H49</f>
        <v>0</v>
      </c>
      <c r="J49" s="121">
        <f>IF(ISERROR(I49/H49),0,(I49/H49))</f>
        <v>0</v>
      </c>
    </row>
    <row r="50" spans="1:11">
      <c r="C50" s="127"/>
      <c r="D50" s="126"/>
      <c r="E50" s="125"/>
      <c r="F50" s="124">
        <f>IF(OR($B$48&lt;$K20,$B$47&gt;$L20),0,(MIN($B$48,$L20)-MAX($B$47,$K20)+1))</f>
        <v>0</v>
      </c>
      <c r="G50" s="124">
        <f>ROUND(IF(ISERROR(F50/365),0,(F50/365))*12,0)</f>
        <v>0</v>
      </c>
      <c r="H50" s="123">
        <f>IF(OR($B$48&lt;$K20,$B$47&gt;$L20),0,M20)</f>
        <v>0</v>
      </c>
      <c r="I50" s="122">
        <f>(F50*$E$47)*H50</f>
        <v>0</v>
      </c>
      <c r="J50" s="121">
        <f>IF(ISERROR(I50/H50),0,(I50/H50))</f>
        <v>0</v>
      </c>
      <c r="K50" s="144"/>
    </row>
    <row r="51" spans="1:11">
      <c r="B51" s="120"/>
      <c r="C51" s="119"/>
      <c r="D51" s="118"/>
      <c r="E51" s="117"/>
      <c r="F51" s="116">
        <f>IF(OR($B$48&lt;$K21,$B$47&gt;$L21),0,(MIN($B$48,$L21)-MAX($B$47,$K21)+1))</f>
        <v>365</v>
      </c>
      <c r="G51" s="116">
        <f>ROUND(IF(ISERROR(F51/365),0,(F51/365))*12,0)</f>
        <v>12</v>
      </c>
      <c r="H51" s="115">
        <f>IF(OR($B$48&lt;$K21,$B$47&gt;$L21),0,M21)</f>
        <v>0.53</v>
      </c>
      <c r="I51" s="114">
        <f>(F51*$E$47)*H51</f>
        <v>0</v>
      </c>
      <c r="J51" s="113">
        <f>IF(ISERROR(I51/H51),0,(I51/H51))</f>
        <v>0</v>
      </c>
    </row>
    <row r="52" spans="1:11" ht="12.95">
      <c r="B52" s="112" t="s">
        <v>169</v>
      </c>
      <c r="C52" s="111"/>
      <c r="D52" s="110">
        <f>SUM(D47:D51)</f>
        <v>0</v>
      </c>
      <c r="E52" s="109"/>
      <c r="F52" s="108">
        <f>SUM(F47:F51)</f>
        <v>365</v>
      </c>
      <c r="G52" s="108">
        <f>SUM(G47:G51)</f>
        <v>12</v>
      </c>
      <c r="H52" s="107">
        <f>AVERAGEIF(H47:H51,"&lt;&gt;0")</f>
        <v>0.53</v>
      </c>
      <c r="I52" s="106">
        <f>SUM(I47:I51)</f>
        <v>0</v>
      </c>
      <c r="J52" s="105">
        <f>SUM(J47:J51)</f>
        <v>0</v>
      </c>
    </row>
    <row r="53" spans="1:11">
      <c r="F53" s="140"/>
    </row>
    <row r="54" spans="1:11">
      <c r="F54" s="140"/>
    </row>
    <row r="55" spans="1:11" ht="13.5" thickBot="1">
      <c r="A55" s="142" t="s">
        <v>173</v>
      </c>
      <c r="B55" s="139" t="s">
        <v>151</v>
      </c>
      <c r="C55" s="140" t="s">
        <v>152</v>
      </c>
      <c r="D55" s="141" t="s">
        <v>153</v>
      </c>
      <c r="E55" s="140" t="s">
        <v>152</v>
      </c>
      <c r="F55" s="140"/>
      <c r="G55" s="140" t="s">
        <v>152</v>
      </c>
      <c r="I55" s="140" t="s">
        <v>152</v>
      </c>
      <c r="J55" s="140" t="s">
        <v>152</v>
      </c>
    </row>
    <row r="56" spans="1:11" ht="13.5" thickBot="1">
      <c r="B56" s="139" t="s">
        <v>155</v>
      </c>
      <c r="C56" s="116" t="s">
        <v>156</v>
      </c>
      <c r="D56" s="138" t="s">
        <v>157</v>
      </c>
      <c r="E56" s="137" t="s">
        <v>158</v>
      </c>
      <c r="F56" s="116" t="s">
        <v>159</v>
      </c>
      <c r="G56" s="116" t="s">
        <v>160</v>
      </c>
      <c r="H56" s="136" t="s">
        <v>161</v>
      </c>
      <c r="I56" s="136" t="s">
        <v>162</v>
      </c>
      <c r="J56" s="135" t="s">
        <v>163</v>
      </c>
      <c r="K56" s="143"/>
    </row>
    <row r="57" spans="1:11" ht="13.5" thickBot="1">
      <c r="A57" s="134" t="s">
        <v>167</v>
      </c>
      <c r="B57" s="128">
        <f>Summary!P11</f>
        <v>47665</v>
      </c>
      <c r="C57" s="133">
        <f>ROUND(IF((B57=0),0,(B58-B57))/30,0)</f>
        <v>12</v>
      </c>
      <c r="D57" s="132">
        <f>Summary!P108</f>
        <v>0</v>
      </c>
      <c r="E57" s="131">
        <f>IF(ISERROR(D57/F62),0,(D57/F62))</f>
        <v>0</v>
      </c>
      <c r="F57" s="130">
        <f>IF(OR($B$58&lt;$K17,$B$57&gt;$L17),0,(MIN($B$58,$L17)-MAX($B$57,$K17)+1))</f>
        <v>0</v>
      </c>
      <c r="G57" s="124">
        <f>ROUND(IF(ISERROR(F57/365),0,(F57/365))*12,0)</f>
        <v>0</v>
      </c>
      <c r="H57" s="123">
        <f>IF(OR($B$58&lt;$K17,$B$57&gt;$L17),0,M17)</f>
        <v>0</v>
      </c>
      <c r="I57" s="122">
        <f>(F57*$E$57)*H57</f>
        <v>0</v>
      </c>
      <c r="J57" s="121">
        <f>IF(ISERROR(I57/H57),0,(I57/H57))</f>
        <v>0</v>
      </c>
    </row>
    <row r="58" spans="1:11" ht="13.5" thickBot="1">
      <c r="A58" s="129" t="s">
        <v>168</v>
      </c>
      <c r="B58" s="128">
        <f>Summary!Q11</f>
        <v>48029</v>
      </c>
      <c r="D58" s="126"/>
      <c r="E58" s="125"/>
      <c r="F58" s="124">
        <f>IF(OR($B$58&lt;$K18,$B$57&gt;$L18),0,(MIN($B$58,$L18)-MAX($B$57,$K18)+1))</f>
        <v>0</v>
      </c>
      <c r="G58" s="124">
        <f>ROUND(IF(ISERROR(F58/365),0,(F58/365))*12,0)</f>
        <v>0</v>
      </c>
      <c r="H58" s="123">
        <f>IF(OR($B$58&lt;$K18,$B$57&gt;$L18),0,M18)</f>
        <v>0</v>
      </c>
      <c r="I58" s="122">
        <f>(F58*$E$57)*H58</f>
        <v>0</v>
      </c>
      <c r="J58" s="121">
        <f>IF(ISERROR(I58/H58),0,(I58/H58))</f>
        <v>0</v>
      </c>
    </row>
    <row r="59" spans="1:11">
      <c r="C59" s="127"/>
      <c r="D59" s="126"/>
      <c r="E59" s="125"/>
      <c r="F59" s="124">
        <f>IF(OR($B$58&lt;$K19,$B$57&gt;$L19),0,(MIN($B$58,$L19)-MAX($B$57,$K19)+1))</f>
        <v>0</v>
      </c>
      <c r="G59" s="124">
        <f>ROUND(IF(ISERROR(F59/365),0,(F59/365))*12,0)</f>
        <v>0</v>
      </c>
      <c r="H59" s="123">
        <f>IF(OR($B$58&lt;$K19,$B$57&gt;$L19),0,M19)</f>
        <v>0</v>
      </c>
      <c r="I59" s="122">
        <f>(F59*$E$57)*H59</f>
        <v>0</v>
      </c>
      <c r="J59" s="121">
        <f>IF(ISERROR(I59/H59),0,(I59/H59))</f>
        <v>0</v>
      </c>
    </row>
    <row r="60" spans="1:11">
      <c r="C60" s="127"/>
      <c r="D60" s="126"/>
      <c r="E60" s="125"/>
      <c r="F60" s="124">
        <f>IF(OR($B$58&lt;$K20,$B$57&gt;$L20),0,(MIN($B$58,$L20)-MAX($B$57,$K20)+1))</f>
        <v>0</v>
      </c>
      <c r="G60" s="124">
        <f>ROUND(IF(ISERROR(F60/365),0,(F60/365))*12,0)</f>
        <v>0</v>
      </c>
      <c r="H60" s="123">
        <f>IF(OR($B$58&lt;$K20,$B$57&gt;$L20),0,M20)</f>
        <v>0</v>
      </c>
      <c r="I60" s="122">
        <f>(F60*$E$57)*H60</f>
        <v>0</v>
      </c>
      <c r="J60" s="121">
        <f>IF(ISERROR(I60/H60),0,(I60/H60))</f>
        <v>0</v>
      </c>
    </row>
    <row r="61" spans="1:11">
      <c r="B61" s="120"/>
      <c r="C61" s="119"/>
      <c r="D61" s="118"/>
      <c r="E61" s="117"/>
      <c r="F61" s="116">
        <f>IF(OR($B$58&lt;$K21,$B$57&gt;$L21),0,(MIN($B$58,$L21)-MAX($B$57,$K21)+1))</f>
        <v>0</v>
      </c>
      <c r="G61" s="116">
        <f>ROUND(IF(ISERROR(F61/365),0,(F61/365))*12,0)</f>
        <v>0</v>
      </c>
      <c r="H61" s="115">
        <f>IF(OR($B$58&lt;$K21,$B$57&gt;$L21),0,M21)</f>
        <v>0</v>
      </c>
      <c r="I61" s="114">
        <f>(F61*$E$57)*H61</f>
        <v>0</v>
      </c>
      <c r="J61" s="113">
        <f>IF(ISERROR(I61/H61),0,(I61/H61))</f>
        <v>0</v>
      </c>
    </row>
    <row r="62" spans="1:11" ht="12.95">
      <c r="B62" s="112" t="s">
        <v>169</v>
      </c>
      <c r="C62" s="111"/>
      <c r="D62" s="110">
        <f>SUM(D57:D61)</f>
        <v>0</v>
      </c>
      <c r="E62" s="109"/>
      <c r="F62" s="108">
        <f>SUM(F57:F61)</f>
        <v>0</v>
      </c>
      <c r="G62" s="108">
        <f>SUM(G57:G61)</f>
        <v>0</v>
      </c>
      <c r="H62" s="107" t="e">
        <f>AVERAGEIF(H57:H61,"&lt;&gt;0")</f>
        <v>#DIV/0!</v>
      </c>
      <c r="I62" s="106">
        <f>SUM(I57:I61)</f>
        <v>0</v>
      </c>
      <c r="J62" s="105">
        <f>SUM(J57:J61)</f>
        <v>0</v>
      </c>
    </row>
    <row r="63" spans="1:11">
      <c r="F63" s="140"/>
    </row>
    <row r="64" spans="1:11">
      <c r="F64" s="140"/>
    </row>
    <row r="65" spans="1:10" ht="13.5" thickBot="1">
      <c r="A65" s="142" t="s">
        <v>174</v>
      </c>
      <c r="B65" s="139" t="s">
        <v>151</v>
      </c>
      <c r="C65" s="140" t="s">
        <v>152</v>
      </c>
      <c r="D65" s="141" t="s">
        <v>153</v>
      </c>
      <c r="E65" s="140" t="s">
        <v>152</v>
      </c>
      <c r="F65" s="140"/>
      <c r="G65" s="140" t="s">
        <v>152</v>
      </c>
      <c r="I65" s="140" t="s">
        <v>152</v>
      </c>
      <c r="J65" s="140" t="s">
        <v>152</v>
      </c>
    </row>
    <row r="66" spans="1:10" ht="13.5" thickBot="1">
      <c r="B66" s="139" t="s">
        <v>155</v>
      </c>
      <c r="C66" s="116" t="s">
        <v>156</v>
      </c>
      <c r="D66" s="138" t="s">
        <v>157</v>
      </c>
      <c r="E66" s="137" t="s">
        <v>158</v>
      </c>
      <c r="F66" s="116" t="s">
        <v>159</v>
      </c>
      <c r="G66" s="116" t="s">
        <v>160</v>
      </c>
      <c r="H66" s="136" t="s">
        <v>161</v>
      </c>
      <c r="I66" s="136" t="s">
        <v>162</v>
      </c>
      <c r="J66" s="135" t="s">
        <v>163</v>
      </c>
    </row>
    <row r="67" spans="1:10" ht="13.5" thickBot="1">
      <c r="A67" s="134" t="s">
        <v>167</v>
      </c>
      <c r="B67" s="128"/>
      <c r="C67" s="133">
        <f>ROUND(IF((B67=0),0,(B68-B67))/30,0)</f>
        <v>0</v>
      </c>
      <c r="D67" s="132">
        <v>0</v>
      </c>
      <c r="E67" s="131">
        <f>IF(ISERROR(D67/F72),0,(D67/F72))</f>
        <v>0</v>
      </c>
      <c r="F67" s="130">
        <f>IF(OR($B$68&lt;$K17,$B$67&gt;$L17),0,(MIN($B$68,$L17)-MAX($B$67,$K17)+1))</f>
        <v>0</v>
      </c>
      <c r="G67" s="124">
        <f>ROUND(IF(ISERROR(F67/365),0,(F67/365))*12,0)</f>
        <v>0</v>
      </c>
      <c r="H67" s="123">
        <f>IF(OR($B$68&lt;$K17,$B$67&gt;$L17),0,M17)</f>
        <v>0</v>
      </c>
      <c r="I67" s="122">
        <f>(F67*$E$67)*H67</f>
        <v>0</v>
      </c>
      <c r="J67" s="121">
        <f>IF(ISERROR(I67/H67),0,(I67/H67))</f>
        <v>0</v>
      </c>
    </row>
    <row r="68" spans="1:10" ht="13.5" thickBot="1">
      <c r="A68" s="129" t="s">
        <v>168</v>
      </c>
      <c r="B68" s="128"/>
      <c r="D68" s="126"/>
      <c r="E68" s="125"/>
      <c r="F68" s="124">
        <f>IF(OR($B$68&lt;$K18,$B$67&gt;$L18),0,(MIN($B$68,$L18)-MAX($B$67,$K18)+1))</f>
        <v>0</v>
      </c>
      <c r="G68" s="124">
        <f>ROUND(IF(ISERROR(F68/365),0,(F68/365))*12,0)</f>
        <v>0</v>
      </c>
      <c r="H68" s="123">
        <f>IF(OR($B$68&lt;$K18,$B$67&gt;$L18),0,M18)</f>
        <v>0</v>
      </c>
      <c r="I68" s="122">
        <f>(F68*$E$67)*H68</f>
        <v>0</v>
      </c>
      <c r="J68" s="121">
        <f>IF(ISERROR(I68/H68),0,(I68/H68))</f>
        <v>0</v>
      </c>
    </row>
    <row r="69" spans="1:10">
      <c r="C69" s="127"/>
      <c r="D69" s="126"/>
      <c r="E69" s="125"/>
      <c r="F69" s="124">
        <f>IF(OR($B$68&lt;$K19,$B$67&gt;$L19),0,(MIN($B$68,$L19)-MAX($B$67,$K19)+1))</f>
        <v>0</v>
      </c>
      <c r="G69" s="124">
        <f>ROUND(IF(ISERROR(F69/365),0,(F69/365))*12,0)</f>
        <v>0</v>
      </c>
      <c r="H69" s="123">
        <f>IF(OR($B$68&lt;$K19,$B$67&gt;$L19),0,M19)</f>
        <v>0</v>
      </c>
      <c r="I69" s="122">
        <f>(F69*$E$67)*H69</f>
        <v>0</v>
      </c>
      <c r="J69" s="121">
        <f>IF(ISERROR(I69/H69),0,(I69/H69))</f>
        <v>0</v>
      </c>
    </row>
    <row r="70" spans="1:10">
      <c r="C70" s="127"/>
      <c r="D70" s="126"/>
      <c r="E70" s="125"/>
      <c r="F70" s="124">
        <f>IF(OR($B$68&lt;$K20,$B$67&gt;$L20),0,(MIN($B$68,$L20)-MAX($B$67,$K20)+1))</f>
        <v>0</v>
      </c>
      <c r="G70" s="124">
        <f>ROUND(IF(ISERROR(F70/365),0,(F70/365))*12,0)</f>
        <v>0</v>
      </c>
      <c r="H70" s="123">
        <f>IF(OR($B$68&lt;$K20,$B$67&gt;$L20),0,M20)</f>
        <v>0</v>
      </c>
      <c r="I70" s="122">
        <f>(F70*$E$67)*H70</f>
        <v>0</v>
      </c>
      <c r="J70" s="121">
        <f>IF(ISERROR(I70/H70),0,(I70/H70))</f>
        <v>0</v>
      </c>
    </row>
    <row r="71" spans="1:10">
      <c r="B71" s="120"/>
      <c r="C71" s="119"/>
      <c r="D71" s="118"/>
      <c r="E71" s="117"/>
      <c r="F71" s="116">
        <f>IF(OR($B$68&lt;$K21,$B$67&gt;$L21),0,(MIN($B$68,$L21)-MAX($B$67,$K21)+1))</f>
        <v>0</v>
      </c>
      <c r="G71" s="116">
        <f>ROUND(IF(ISERROR(F71/365),0,(F71/365))*12,0)</f>
        <v>0</v>
      </c>
      <c r="H71" s="115">
        <f>IF(OR($B$68&lt;$K21,$B$67&gt;$L21),0,M21)</f>
        <v>0</v>
      </c>
      <c r="I71" s="114">
        <f>(F71*$E$67)*H71</f>
        <v>0</v>
      </c>
      <c r="J71" s="113">
        <f>IF(ISERROR(I71/H71),0,(I71/H71))</f>
        <v>0</v>
      </c>
    </row>
    <row r="72" spans="1:10" ht="12.95">
      <c r="B72" s="112" t="s">
        <v>169</v>
      </c>
      <c r="C72" s="111"/>
      <c r="D72" s="110">
        <f>SUM(D67:D71)</f>
        <v>0</v>
      </c>
      <c r="E72" s="109"/>
      <c r="F72" s="108">
        <f>SUM(F67:F71)</f>
        <v>0</v>
      </c>
      <c r="G72" s="108">
        <f>SUM(G67:G71)</f>
        <v>0</v>
      </c>
      <c r="H72" s="107" t="e">
        <f>AVERAGEIF(H67:H71,"&lt;&gt;0")</f>
        <v>#DIV/0!</v>
      </c>
      <c r="I72" s="106">
        <f>SUM(I67:I71)</f>
        <v>0</v>
      </c>
      <c r="J72" s="105">
        <f>SUM(J67:J71)</f>
        <v>0</v>
      </c>
    </row>
    <row r="73" spans="1:10">
      <c r="F73" s="140"/>
    </row>
    <row r="74" spans="1:10">
      <c r="F74" s="140"/>
    </row>
    <row r="75" spans="1:10" ht="13.5" thickBot="1">
      <c r="A75" s="142" t="s">
        <v>175</v>
      </c>
      <c r="B75" s="139" t="s">
        <v>151</v>
      </c>
      <c r="C75" s="140" t="s">
        <v>152</v>
      </c>
      <c r="D75" s="141" t="s">
        <v>153</v>
      </c>
      <c r="E75" s="140" t="s">
        <v>152</v>
      </c>
      <c r="F75" s="140"/>
      <c r="G75" s="140" t="s">
        <v>152</v>
      </c>
      <c r="I75" s="140" t="s">
        <v>152</v>
      </c>
      <c r="J75" s="140" t="s">
        <v>152</v>
      </c>
    </row>
    <row r="76" spans="1:10" ht="13.5" thickBot="1">
      <c r="B76" s="139" t="s">
        <v>155</v>
      </c>
      <c r="C76" s="116" t="s">
        <v>156</v>
      </c>
      <c r="D76" s="138" t="s">
        <v>157</v>
      </c>
      <c r="E76" s="137" t="s">
        <v>158</v>
      </c>
      <c r="F76" s="116" t="s">
        <v>159</v>
      </c>
      <c r="G76" s="116" t="s">
        <v>160</v>
      </c>
      <c r="H76" s="136" t="s">
        <v>161</v>
      </c>
      <c r="I76" s="136" t="s">
        <v>162</v>
      </c>
      <c r="J76" s="135" t="s">
        <v>163</v>
      </c>
    </row>
    <row r="77" spans="1:10" ht="13.5" thickBot="1">
      <c r="A77" s="134" t="s">
        <v>167</v>
      </c>
      <c r="B77" s="128"/>
      <c r="C77" s="133">
        <f>ROUND(IF((B77=0),0,(B78-B77))/30,0)</f>
        <v>0</v>
      </c>
      <c r="D77" s="132">
        <v>0</v>
      </c>
      <c r="E77" s="131">
        <f>IF(ISERROR(D77/F82),0,(D77/F82))</f>
        <v>0</v>
      </c>
      <c r="F77" s="130">
        <f>IF(OR($B$78&lt;$K17,$B$77&gt;$L17),0,(MIN($B$78,$L17)-MAX($B$77,$K17)+1))</f>
        <v>0</v>
      </c>
      <c r="G77" s="124">
        <f>ROUND(IF(ISERROR(F77/365),0,(F77/365))*12,0)</f>
        <v>0</v>
      </c>
      <c r="H77" s="123">
        <f>IF(OR($B$78&lt;$K17,$B$77&gt;$L17),0,M17)</f>
        <v>0</v>
      </c>
      <c r="I77" s="122">
        <f>(F77*$E$77)*H77</f>
        <v>0</v>
      </c>
      <c r="J77" s="121">
        <f>IF(ISERROR(I77/H77),0,(I77/H77))</f>
        <v>0</v>
      </c>
    </row>
    <row r="78" spans="1:10" ht="13.5" thickBot="1">
      <c r="A78" s="129" t="s">
        <v>168</v>
      </c>
      <c r="B78" s="128"/>
      <c r="D78" s="126"/>
      <c r="E78" s="125"/>
      <c r="F78" s="124">
        <f>IF(OR($B$78&lt;$K18,$B$77&gt;$L18),0,(MIN($B$78,$L18)-MAX($B$77,$K18)+1))</f>
        <v>0</v>
      </c>
      <c r="G78" s="124">
        <f>ROUND(IF(ISERROR(F78/365),0,(F78/365))*12,0)</f>
        <v>0</v>
      </c>
      <c r="H78" s="123">
        <f>IF(OR($B$78&lt;$K18,$B$77&gt;$L18),0,M18)</f>
        <v>0</v>
      </c>
      <c r="I78" s="122">
        <f>(F78*$E$77)*H78</f>
        <v>0</v>
      </c>
      <c r="J78" s="121">
        <f>IF(ISERROR(I78/H78),0,(I78/H78))</f>
        <v>0</v>
      </c>
    </row>
    <row r="79" spans="1:10">
      <c r="C79" s="127"/>
      <c r="D79" s="126"/>
      <c r="E79" s="125"/>
      <c r="F79" s="124">
        <f>IF(OR($B$78&lt;$K19,$B$77&gt;$L19),0,(MIN($B$78,$L19)-MAX($B$77,$K19)+1))</f>
        <v>0</v>
      </c>
      <c r="G79" s="124">
        <f>ROUND(IF(ISERROR(F79/365),0,(F79/365))*12,0)</f>
        <v>0</v>
      </c>
      <c r="H79" s="123">
        <f>IF(OR($B$78&lt;$K19,$B$77&gt;$L19),0,M19)</f>
        <v>0</v>
      </c>
      <c r="I79" s="122">
        <f>(F79*$E$77)*H79</f>
        <v>0</v>
      </c>
      <c r="J79" s="121">
        <f>IF(ISERROR(I79/H79),0,(I79/H79))</f>
        <v>0</v>
      </c>
    </row>
    <row r="80" spans="1:10">
      <c r="C80" s="127"/>
      <c r="D80" s="126"/>
      <c r="E80" s="125"/>
      <c r="F80" s="124">
        <f>IF(OR($B$78&lt;$K20,$B$77&gt;$L20),0,(MIN($B$78,$L20)-MAX($B$77,$K20)+1))</f>
        <v>0</v>
      </c>
      <c r="G80" s="124">
        <f>ROUND(IF(ISERROR(F80/365),0,(F80/365))*12,0)</f>
        <v>0</v>
      </c>
      <c r="H80" s="123">
        <f>IF(OR($B$78&lt;$K20,$B$77&gt;$L20),0,M20)</f>
        <v>0</v>
      </c>
      <c r="I80" s="122">
        <f>(F80*$E$77)*H80</f>
        <v>0</v>
      </c>
      <c r="J80" s="121">
        <f>IF(ISERROR(I80/H80),0,(I80/H80))</f>
        <v>0</v>
      </c>
    </row>
    <row r="81" spans="2:10">
      <c r="B81" s="120"/>
      <c r="C81" s="119"/>
      <c r="D81" s="118"/>
      <c r="E81" s="117"/>
      <c r="F81" s="116">
        <f>IF(OR($B$78&lt;$K21,$B$77&gt;$L21),0,(MIN($B$78,$L21)-MAX($B$77,$K21)+1))</f>
        <v>0</v>
      </c>
      <c r="G81" s="116">
        <f>ROUND(IF(ISERROR(F81/365),0,(F81/365))*12,0)</f>
        <v>0</v>
      </c>
      <c r="H81" s="115">
        <f>IF(OR($B$78&lt;$K21,$B$77&gt;$L21),0,M21)</f>
        <v>0</v>
      </c>
      <c r="I81" s="114">
        <f>(F81*$E$77)*H81</f>
        <v>0</v>
      </c>
      <c r="J81" s="113">
        <f>IF(ISERROR(I81/H81),0,(I81/H81))</f>
        <v>0</v>
      </c>
    </row>
    <row r="82" spans="2:10" ht="12.95">
      <c r="B82" s="112" t="s">
        <v>169</v>
      </c>
      <c r="C82" s="111"/>
      <c r="D82" s="110">
        <f>SUM(D77:D81)</f>
        <v>0</v>
      </c>
      <c r="E82" s="109"/>
      <c r="F82" s="108">
        <f>SUM(F77:F81)</f>
        <v>0</v>
      </c>
      <c r="G82" s="108">
        <f>SUM(G77:G81)</f>
        <v>0</v>
      </c>
      <c r="H82" s="107" t="e">
        <f>AVERAGEIF(H77:H81,"&lt;&gt;0")</f>
        <v>#DIV/0!</v>
      </c>
      <c r="I82" s="106">
        <f>SUM(I77:I81)</f>
        <v>0</v>
      </c>
      <c r="J82" s="105">
        <f>SUM(J77:J81)</f>
        <v>0</v>
      </c>
    </row>
  </sheetData>
  <sheetProtection selectLockedCells="1"/>
  <dataValidations count="10">
    <dataValidation type="date" allowBlank="1" showInputMessage="1" showErrorMessage="1" errorTitle="Project Start Date" error="The Project Start date must be less than or equal to the Project End Date." sqref="B47 B27 B57 B67 B77 B37" xr:uid="{00000000-0002-0000-0100-000000000000}">
      <formula1>41275</formula1>
      <formula2>47848</formula2>
    </dataValidation>
    <dataValidation type="date" operator="greaterThanOrEqual" showErrorMessage="1" errorTitle="End Date" error="This date must be greater than or equal to the Project Start Date." promptTitle="Enter End Date" prompt="Date should be either the AWARD End Date or the PROJECT budget period End Date." sqref="B18 B28 B38 B48 B58 B68 B78" xr:uid="{00000000-0002-0000-0100-000001000000}">
      <formula1>B17</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17" xr:uid="{00000000-0002-0000-0100-000002000000}">
      <formula1>IF(C57=0,D57=0,D57&gt;0)</formula1>
    </dataValidation>
    <dataValidation type="custom" operator="greaterThanOrEqual" allowBlank="1" showInputMessage="1" showErrorMessage="1" errorTitle="MTDC Amount" error="This amount must be greater than 0." promptTitle="MTDC" prompt="Enter the Modified Total Direct Cost amount (the amount that is eligible for F&amp;A)." sqref="D27" xr:uid="{00000000-0002-0000-0100-000003000000}">
      <formula1>IF(C57=0,D57=0,D57&gt;0)</formula1>
    </dataValidation>
    <dataValidation type="date" allowBlank="1" showInputMessage="1" showErrorMessage="1" errorTitle="Project Start Date" error="The Project Start date must be less than or equal to the Project End Date." sqref="B17" xr:uid="{00000000-0002-0000-0100-000004000000}">
      <formula1>40179</formula1>
      <formula2>47848</formula2>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57" xr:uid="{00000000-0002-0000-0100-000005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67" xr:uid="{00000000-0002-0000-0100-000006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77" xr:uid="{00000000-0002-0000-0100-000007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47" xr:uid="{00000000-0002-0000-0100-000008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37" xr:uid="{00000000-0002-0000-0100-000009000000}">
      <formula1>IF(C57=0,D57=0,D57&gt;0)</formula1>
    </dataValidation>
  </dataValidations>
  <pageMargins left="0.7" right="0.7" top="0.75" bottom="0.75" header="0.3" footer="0.3"/>
  <pageSetup paperSize="17"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M82"/>
  <sheetViews>
    <sheetView workbookViewId="0">
      <selection activeCell="K30" sqref="K30"/>
    </sheetView>
  </sheetViews>
  <sheetFormatPr defaultColWidth="16.42578125" defaultRowHeight="12.6"/>
  <cols>
    <col min="1" max="1" width="25.85546875" style="104" bestFit="1" customWidth="1"/>
    <col min="2" max="2" width="11" style="104" customWidth="1"/>
    <col min="3" max="3" width="11.42578125" style="104" hidden="1" customWidth="1"/>
    <col min="4" max="4" width="24.140625" style="104" customWidth="1"/>
    <col min="5" max="5" width="16.42578125" style="104" bestFit="1" customWidth="1"/>
    <col min="6" max="6" width="11.85546875" style="104" bestFit="1" customWidth="1"/>
    <col min="7" max="7" width="13.85546875" style="104" hidden="1" customWidth="1"/>
    <col min="8" max="8" width="9" style="104" bestFit="1" customWidth="1"/>
    <col min="9" max="9" width="15.140625" style="104" bestFit="1" customWidth="1"/>
    <col min="10" max="10" width="14" style="104" bestFit="1" customWidth="1"/>
    <col min="11" max="11" width="26.85546875" style="104" bestFit="1" customWidth="1"/>
    <col min="12" max="12" width="13.140625" style="104" bestFit="1" customWidth="1"/>
    <col min="13" max="13" width="11.42578125" style="104" bestFit="1" customWidth="1"/>
    <col min="14" max="16384" width="16.42578125" style="104"/>
  </cols>
  <sheetData>
    <row r="1" spans="1:13" ht="12.95">
      <c r="D1" s="160" t="s">
        <v>140</v>
      </c>
    </row>
    <row r="3" spans="1:13" ht="12.95">
      <c r="A3" s="160" t="s">
        <v>141</v>
      </c>
      <c r="B3" s="104" t="s">
        <v>142</v>
      </c>
    </row>
    <row r="4" spans="1:13" ht="12.95">
      <c r="A4" s="160"/>
      <c r="B4" s="104" t="s">
        <v>143</v>
      </c>
    </row>
    <row r="5" spans="1:13" ht="12.95">
      <c r="A5" s="160"/>
    </row>
    <row r="6" spans="1:13" ht="12.95" hidden="1">
      <c r="A6" s="160"/>
      <c r="B6" s="104" t="s">
        <v>144</v>
      </c>
    </row>
    <row r="7" spans="1:13" ht="12.95" hidden="1">
      <c r="A7" s="160"/>
      <c r="B7" s="104" t="s">
        <v>145</v>
      </c>
    </row>
    <row r="8" spans="1:13" ht="12.95" hidden="1">
      <c r="A8" s="160"/>
    </row>
    <row r="9" spans="1:13" ht="12.95">
      <c r="A9" s="160"/>
      <c r="B9" s="104" t="s">
        <v>146</v>
      </c>
    </row>
    <row r="10" spans="1:13" ht="13.5" thickBot="1">
      <c r="A10" s="160"/>
    </row>
    <row r="11" spans="1:13" ht="12.95">
      <c r="A11" s="160"/>
      <c r="B11" s="159"/>
      <c r="C11" s="158"/>
      <c r="D11" s="157" t="s">
        <v>147</v>
      </c>
      <c r="E11" s="158"/>
      <c r="F11" s="158"/>
      <c r="G11" s="158"/>
      <c r="H11" s="158"/>
      <c r="I11" s="157" t="s">
        <v>148</v>
      </c>
    </row>
    <row r="12" spans="1:13" ht="13.5" thickBot="1">
      <c r="A12" s="156" t="s">
        <v>149</v>
      </c>
      <c r="B12" s="155"/>
      <c r="C12" s="154"/>
      <c r="D12" s="153">
        <f>D22+D32+D42+D52+D62+D72+D82</f>
        <v>0</v>
      </c>
      <c r="E12" s="154"/>
      <c r="F12" s="154"/>
      <c r="G12" s="154"/>
      <c r="H12" s="154"/>
      <c r="I12" s="153">
        <f>I22+I32+I42+I52+I62+I72+I82</f>
        <v>0</v>
      </c>
    </row>
    <row r="15" spans="1:13" ht="26.45" thickBot="1">
      <c r="A15" s="142" t="s">
        <v>150</v>
      </c>
      <c r="B15" s="139" t="s">
        <v>151</v>
      </c>
      <c r="C15" s="140" t="s">
        <v>152</v>
      </c>
      <c r="D15" s="141" t="s">
        <v>153</v>
      </c>
      <c r="E15" s="140" t="s">
        <v>152</v>
      </c>
      <c r="F15" s="140"/>
      <c r="G15" s="140" t="s">
        <v>152</v>
      </c>
      <c r="I15" s="140" t="s">
        <v>152</v>
      </c>
      <c r="J15" s="140" t="s">
        <v>152</v>
      </c>
      <c r="K15" s="152" t="s">
        <v>154</v>
      </c>
    </row>
    <row r="16" spans="1:13" ht="13.5" thickBot="1">
      <c r="B16" s="139" t="s">
        <v>155</v>
      </c>
      <c r="C16" s="116" t="s">
        <v>156</v>
      </c>
      <c r="D16" s="138" t="s">
        <v>157</v>
      </c>
      <c r="E16" s="137" t="s">
        <v>158</v>
      </c>
      <c r="F16" s="116" t="s">
        <v>159</v>
      </c>
      <c r="G16" s="116" t="s">
        <v>160</v>
      </c>
      <c r="H16" s="136" t="s">
        <v>161</v>
      </c>
      <c r="I16" s="136" t="s">
        <v>162</v>
      </c>
      <c r="J16" s="135" t="s">
        <v>163</v>
      </c>
      <c r="K16" s="150" t="s">
        <v>164</v>
      </c>
      <c r="L16" s="151" t="s">
        <v>165</v>
      </c>
      <c r="M16" s="150" t="s">
        <v>166</v>
      </c>
    </row>
    <row r="17" spans="1:13" ht="13.5" thickBot="1">
      <c r="A17" s="134" t="s">
        <v>167</v>
      </c>
      <c r="B17" s="128">
        <f>Summary!H11</f>
        <v>46204</v>
      </c>
      <c r="C17" s="133">
        <f>ROUND(IF((B17=0),0,(B18-B17))/30,0)</f>
        <v>12</v>
      </c>
      <c r="D17" s="132">
        <f>Summary!I108</f>
        <v>0</v>
      </c>
      <c r="E17" s="131">
        <f>IF(ISERROR(D17/F22),0,(D17/F22))</f>
        <v>0</v>
      </c>
      <c r="F17" s="124">
        <f>IF(OR($B$18&lt;$K17,$B$17&gt;$L17),0,(MIN($B$18,$L17)-MAX($B$17,$K17)+1))</f>
        <v>0</v>
      </c>
      <c r="G17" s="124">
        <f>ROUND(IF(ISERROR(F17/365),0,(F17/365)*12),2)</f>
        <v>0</v>
      </c>
      <c r="H17" s="123">
        <f>IF(OR($B$18&lt;$K17,$B$17&gt;$L17),0,M17)</f>
        <v>0</v>
      </c>
      <c r="I17" s="122">
        <f>(F17*$E$17)*H17</f>
        <v>0</v>
      </c>
      <c r="J17" s="121">
        <f>IF(ISERROR(I17/H17),0,(I17/H17))</f>
        <v>0</v>
      </c>
      <c r="K17" s="149">
        <v>42552</v>
      </c>
      <c r="L17" s="149">
        <v>42916</v>
      </c>
      <c r="M17" s="148">
        <v>0.52</v>
      </c>
    </row>
    <row r="18" spans="1:13" ht="13.5" thickBot="1">
      <c r="A18" s="129" t="s">
        <v>168</v>
      </c>
      <c r="B18" s="128">
        <f>Summary!I11</f>
        <v>46568</v>
      </c>
      <c r="C18" s="145"/>
      <c r="D18" s="126"/>
      <c r="E18" s="125"/>
      <c r="F18" s="124">
        <f>IF(OR($B$18&lt;$K18,$B$17&gt;$L18),0,(MIN($B$18,$L18)-MAX($B$17,$K18)+1))</f>
        <v>0</v>
      </c>
      <c r="G18" s="124">
        <f>ROUND(IF(ISERROR(F18/365),0,(F18/365)*12),2)</f>
        <v>0</v>
      </c>
      <c r="H18" s="123">
        <f>IF(OR($B$18&lt;$K18,$B$17&gt;$L18),0,M18)</f>
        <v>0</v>
      </c>
      <c r="I18" s="122">
        <f>(F18*$E$17)*H18</f>
        <v>0</v>
      </c>
      <c r="J18" s="121">
        <f>IF(ISERROR(I18/H18),0,(I18/H18))</f>
        <v>0</v>
      </c>
      <c r="K18" s="149">
        <v>42917</v>
      </c>
      <c r="L18" s="149">
        <v>43281</v>
      </c>
      <c r="M18" s="148">
        <v>0.52</v>
      </c>
    </row>
    <row r="19" spans="1:13">
      <c r="C19" s="145"/>
      <c r="D19" s="126"/>
      <c r="E19" s="125"/>
      <c r="F19" s="124">
        <f>IF(OR($B$18&lt;$K19,$B$17&gt;$L19),0,(MIN($B$18,$L19)-MAX($B$17,$K19)+1))</f>
        <v>0</v>
      </c>
      <c r="G19" s="124">
        <f>ROUND(IF(ISERROR(F19/365),0,(F19/365)*12),2)</f>
        <v>0</v>
      </c>
      <c r="H19" s="123">
        <f>IF(OR($B$18&lt;$K19,$B$17&gt;$L19),0,M19)</f>
        <v>0</v>
      </c>
      <c r="I19" s="122">
        <f>(F19*$E$17)*H19</f>
        <v>0</v>
      </c>
      <c r="J19" s="121">
        <f>IF(ISERROR(I19/H19),0,(I19/H19))</f>
        <v>0</v>
      </c>
      <c r="K19" s="149">
        <v>43282</v>
      </c>
      <c r="L19" s="149">
        <v>43646</v>
      </c>
      <c r="M19" s="148">
        <v>0.53</v>
      </c>
    </row>
    <row r="20" spans="1:13">
      <c r="C20" s="127"/>
      <c r="D20" s="126"/>
      <c r="E20" s="125"/>
      <c r="F20" s="124">
        <f>IF(OR($B$18&lt;$K20,$B$17&gt;$L20),0,(MIN($B$18,$L20)-MAX($B$17,$K20)+1))</f>
        <v>0</v>
      </c>
      <c r="G20" s="124">
        <f>ROUND(IF(ISERROR(F20/365),0,(F20/365)*12),2)</f>
        <v>0</v>
      </c>
      <c r="H20" s="123">
        <f>IF(OR($B$18&lt;$K20,$B$17&gt;$L20),0,M20)</f>
        <v>0</v>
      </c>
      <c r="I20" s="122">
        <f>(F20*$E$17)*H20</f>
        <v>0</v>
      </c>
      <c r="J20" s="121">
        <f>IF(ISERROR(I20/H20),0,(I20/H20))</f>
        <v>0</v>
      </c>
      <c r="K20" s="149">
        <v>43647</v>
      </c>
      <c r="L20" s="149">
        <v>44012</v>
      </c>
      <c r="M20" s="148">
        <v>0.53</v>
      </c>
    </row>
    <row r="21" spans="1:13">
      <c r="B21" s="120"/>
      <c r="C21" s="119"/>
      <c r="D21" s="118"/>
      <c r="E21" s="117"/>
      <c r="F21" s="116">
        <f>IF(OR($B$18&lt;$K21,$B$17&gt;$L21),0,(MIN($B$18,$L21)-MAX($B$17,$K21)+1))</f>
        <v>365</v>
      </c>
      <c r="G21" s="116">
        <f>ROUND(IF(ISERROR(F21/365),0,(F21/365)*12),2)</f>
        <v>12</v>
      </c>
      <c r="H21" s="115">
        <f>IF(OR($B$18&lt;$K21,$B$17&gt;$L21),0,M21)</f>
        <v>0.53</v>
      </c>
      <c r="I21" s="114">
        <f>(F21*$E$17)*H21</f>
        <v>0</v>
      </c>
      <c r="J21" s="113">
        <f>IF(ISERROR(I21/H21),0,(I21/H21))</f>
        <v>0</v>
      </c>
      <c r="K21" s="149">
        <v>44013</v>
      </c>
      <c r="L21" s="149">
        <v>47664</v>
      </c>
      <c r="M21" s="148">
        <v>0.53</v>
      </c>
    </row>
    <row r="22" spans="1:13" ht="12.95">
      <c r="B22" s="112" t="s">
        <v>169</v>
      </c>
      <c r="C22" s="111"/>
      <c r="D22" s="110">
        <f>SUM(D17:D21)</f>
        <v>0</v>
      </c>
      <c r="E22" s="109"/>
      <c r="F22" s="108">
        <f>SUM(F17:F21)</f>
        <v>365</v>
      </c>
      <c r="G22" s="108">
        <f>SUM(G17:G21)</f>
        <v>12</v>
      </c>
      <c r="H22" s="107">
        <f>AVERAGEIF(H17:H21,"&lt;&gt;0")</f>
        <v>0.53</v>
      </c>
      <c r="I22" s="106">
        <f>SUM(I17:I21)</f>
        <v>0</v>
      </c>
      <c r="J22" s="105">
        <f>SUM(J17:J21)</f>
        <v>0</v>
      </c>
      <c r="K22" s="147"/>
      <c r="L22" s="147"/>
      <c r="M22" s="147"/>
    </row>
    <row r="23" spans="1:13">
      <c r="F23" s="127"/>
      <c r="G23" s="140"/>
    </row>
    <row r="24" spans="1:13" ht="14.25" customHeight="1">
      <c r="F24" s="140"/>
      <c r="G24" s="140"/>
    </row>
    <row r="25" spans="1:13" ht="18" customHeight="1" thickBot="1">
      <c r="A25" s="142" t="s">
        <v>170</v>
      </c>
      <c r="B25" s="139" t="s">
        <v>151</v>
      </c>
      <c r="C25" s="140" t="s">
        <v>152</v>
      </c>
      <c r="D25" s="141" t="s">
        <v>153</v>
      </c>
      <c r="E25" s="140" t="s">
        <v>152</v>
      </c>
      <c r="F25" s="140"/>
      <c r="G25" s="140" t="s">
        <v>152</v>
      </c>
      <c r="I25" s="140" t="s">
        <v>152</v>
      </c>
      <c r="J25" s="140" t="s">
        <v>152</v>
      </c>
    </row>
    <row r="26" spans="1:13" ht="13.5" thickBot="1">
      <c r="B26" s="139" t="s">
        <v>155</v>
      </c>
      <c r="C26" s="146" t="s">
        <v>156</v>
      </c>
      <c r="D26" s="138" t="s">
        <v>157</v>
      </c>
      <c r="E26" s="137" t="s">
        <v>158</v>
      </c>
      <c r="F26" s="116" t="s">
        <v>159</v>
      </c>
      <c r="G26" s="116" t="s">
        <v>160</v>
      </c>
      <c r="H26" s="136" t="s">
        <v>161</v>
      </c>
      <c r="I26" s="136" t="s">
        <v>162</v>
      </c>
      <c r="J26" s="135" t="s">
        <v>163</v>
      </c>
    </row>
    <row r="27" spans="1:13" ht="13.5" thickBot="1">
      <c r="A27" s="134" t="s">
        <v>167</v>
      </c>
      <c r="B27" s="128">
        <f>Summary!J11</f>
        <v>46569</v>
      </c>
      <c r="C27" s="133">
        <f>ROUND(IF((B27=0),0,(B28-B27))/30,0)</f>
        <v>12</v>
      </c>
      <c r="D27" s="132">
        <f>Summary!K108</f>
        <v>0</v>
      </c>
      <c r="E27" s="131">
        <f>IF(ISERROR(D27/F32),0,(D27/F32))</f>
        <v>0</v>
      </c>
      <c r="F27" s="124">
        <f>IF(OR($B$28&lt;$K17,$B$27&gt;$L17),0,(MIN($B$28,$L17)-MAX($B$27,$K17)+1))</f>
        <v>0</v>
      </c>
      <c r="G27" s="124">
        <f>ROUND(IF(ISERROR(F27/365),0,(F27/365))*12,0)</f>
        <v>0</v>
      </c>
      <c r="H27" s="123">
        <f>IF(OR($B$28&lt;$K17,$B$27&gt;$L17),0,M17)</f>
        <v>0</v>
      </c>
      <c r="I27" s="122">
        <f>(F27*$E$27)*H27</f>
        <v>0</v>
      </c>
      <c r="J27" s="121">
        <f>IF(ISERROR(I27/H27),0,(I27/H27))</f>
        <v>0</v>
      </c>
    </row>
    <row r="28" spans="1:13" ht="13.5" thickBot="1">
      <c r="A28" s="129" t="s">
        <v>168</v>
      </c>
      <c r="B28" s="128">
        <f>Summary!K11</f>
        <v>46934</v>
      </c>
      <c r="D28" s="126"/>
      <c r="E28" s="125"/>
      <c r="F28" s="124">
        <f>IF(OR($B$28&lt;$K18,$B$27&gt;$L18),0,(MIN($B$28,$L18)-MAX($B$27,$K18)+1))</f>
        <v>0</v>
      </c>
      <c r="G28" s="124">
        <f>ROUND(IF(ISERROR(F28/365),0,(F28/365))*12,0)</f>
        <v>0</v>
      </c>
      <c r="H28" s="123">
        <f>IF(OR($B$28&lt;$K18,$B$27&gt;$L18),0,M18)</f>
        <v>0</v>
      </c>
      <c r="I28" s="122">
        <f>(F28*$E$27)*H28</f>
        <v>0</v>
      </c>
      <c r="J28" s="121">
        <f>IF(ISERROR(I28/H28),0,(I28/H28))</f>
        <v>0</v>
      </c>
    </row>
    <row r="29" spans="1:13">
      <c r="C29" s="127"/>
      <c r="D29" s="126"/>
      <c r="E29" s="125"/>
      <c r="F29" s="124">
        <f>IF(OR($B$28&lt;$K19,$B$27&gt;$L19),0,(MIN($B$28,$L19)-MAX($B$27,$K19)+1))</f>
        <v>0</v>
      </c>
      <c r="G29" s="124">
        <f>ROUND(IF(ISERROR(F29/365),0,(F29/365))*12,0)</f>
        <v>0</v>
      </c>
      <c r="H29" s="123">
        <f>IF(OR($B$28&lt;$K19,$B$27&gt;$L19),0,M19)</f>
        <v>0</v>
      </c>
      <c r="I29" s="122">
        <f>(F29*$E$27)*H29</f>
        <v>0</v>
      </c>
      <c r="J29" s="121">
        <f>IF(ISERROR(I29/H29),0,(I29/H29))</f>
        <v>0</v>
      </c>
    </row>
    <row r="30" spans="1:13">
      <c r="C30" s="127"/>
      <c r="D30" s="126"/>
      <c r="E30" s="125"/>
      <c r="F30" s="124">
        <f>IF(OR($B$28&lt;$K20,$B$27&gt;$L20),0,(MIN($B$28,$L20)-MAX($B$27,$K20)+1))</f>
        <v>0</v>
      </c>
      <c r="G30" s="124">
        <f>ROUND(IF(ISERROR(F30/365),0,(F30/365))*12,0)</f>
        <v>0</v>
      </c>
      <c r="H30" s="123">
        <f>IF(OR($B$28&lt;$K20,$B$27&gt;$L20),0,M20)</f>
        <v>0</v>
      </c>
      <c r="I30" s="122">
        <f>(F30*$E$27)*H30</f>
        <v>0</v>
      </c>
      <c r="J30" s="121">
        <f>IF(ISERROR(I30/H30),0,(I30/H30))</f>
        <v>0</v>
      </c>
    </row>
    <row r="31" spans="1:13">
      <c r="B31" s="120"/>
      <c r="C31" s="119"/>
      <c r="D31" s="118"/>
      <c r="E31" s="117"/>
      <c r="F31" s="116">
        <f>IF(OR($B$28&lt;$K21,$B$27&gt;$L21),0,(MIN($B$28,$L21)-MAX($B$27,$K21)+1))</f>
        <v>366</v>
      </c>
      <c r="G31" s="116">
        <f>ROUND(IF(ISERROR(F31/365),0,(F31/365))*12,0)</f>
        <v>12</v>
      </c>
      <c r="H31" s="115">
        <f>IF(OR($B$28&lt;$K21,$B$27&gt;$L21),0,M21)</f>
        <v>0.53</v>
      </c>
      <c r="I31" s="114">
        <f>(F31*$E$27)*H31</f>
        <v>0</v>
      </c>
      <c r="J31" s="113">
        <f>IF(ISERROR(I31/H31),0,(I31/H31))</f>
        <v>0</v>
      </c>
    </row>
    <row r="32" spans="1:13" ht="12.95">
      <c r="B32" s="112" t="s">
        <v>169</v>
      </c>
      <c r="C32" s="111"/>
      <c r="D32" s="110">
        <f>SUM(D27:D31)</f>
        <v>0</v>
      </c>
      <c r="E32" s="109"/>
      <c r="F32" s="108">
        <f>SUM(F27:F31)</f>
        <v>366</v>
      </c>
      <c r="G32" s="108">
        <f>SUM(G27:G31)</f>
        <v>12</v>
      </c>
      <c r="H32" s="107">
        <f>AVERAGEIF(H27:H31,"&lt;&gt;0")</f>
        <v>0.53</v>
      </c>
      <c r="I32" s="106">
        <f>SUM(I27:I31)</f>
        <v>0</v>
      </c>
      <c r="J32" s="105">
        <f>SUM(J27:J31)</f>
        <v>0</v>
      </c>
      <c r="K32" s="143"/>
    </row>
    <row r="33" spans="1:12">
      <c r="F33" s="140"/>
      <c r="K33" s="143"/>
    </row>
    <row r="34" spans="1:12">
      <c r="C34" s="145"/>
      <c r="F34" s="140"/>
      <c r="K34" s="143"/>
    </row>
    <row r="35" spans="1:12" ht="13.5" thickBot="1">
      <c r="A35" s="142" t="s">
        <v>171</v>
      </c>
      <c r="B35" s="139" t="s">
        <v>151</v>
      </c>
      <c r="C35" s="140" t="s">
        <v>152</v>
      </c>
      <c r="D35" s="141" t="s">
        <v>153</v>
      </c>
      <c r="E35" s="140" t="s">
        <v>152</v>
      </c>
      <c r="F35" s="140"/>
      <c r="G35" s="140" t="s">
        <v>152</v>
      </c>
      <c r="I35" s="140" t="s">
        <v>152</v>
      </c>
      <c r="J35" s="140" t="s">
        <v>152</v>
      </c>
    </row>
    <row r="36" spans="1:12" ht="13.5" thickBot="1">
      <c r="B36" s="139" t="s">
        <v>155</v>
      </c>
      <c r="C36" s="116" t="s">
        <v>156</v>
      </c>
      <c r="D36" s="138" t="s">
        <v>157</v>
      </c>
      <c r="E36" s="137" t="s">
        <v>158</v>
      </c>
      <c r="F36" s="116" t="s">
        <v>159</v>
      </c>
      <c r="G36" s="116" t="s">
        <v>160</v>
      </c>
      <c r="H36" s="136" t="s">
        <v>161</v>
      </c>
      <c r="I36" s="136" t="s">
        <v>162</v>
      </c>
      <c r="J36" s="135" t="s">
        <v>163</v>
      </c>
    </row>
    <row r="37" spans="1:12" ht="13.5" thickBot="1">
      <c r="A37" s="134" t="s">
        <v>167</v>
      </c>
      <c r="B37" s="128">
        <f>Summary!L11</f>
        <v>46935</v>
      </c>
      <c r="C37" s="133">
        <f>ROUND(IF((B37=0),0,(B38-B37))/30,0)</f>
        <v>12</v>
      </c>
      <c r="D37" s="132">
        <f>Summary!M108</f>
        <v>0</v>
      </c>
      <c r="E37" s="131">
        <f>IF(ISERROR(D37/F42),0,(D37/F42))</f>
        <v>0</v>
      </c>
      <c r="F37" s="130">
        <f>IF(OR($B$38&lt;$K17,$B$37&gt;$L17),0,(MIN($B$38,$L17)-MAX($B$37,$K17)+1))</f>
        <v>0</v>
      </c>
      <c r="G37" s="124">
        <f>ROUND(IF(ISERROR(F37/365),0,(F37/365))*12,0)</f>
        <v>0</v>
      </c>
      <c r="H37" s="123">
        <f>IF(OR($B$38&lt;$K17,$B$37&gt;$L17),0,M17)</f>
        <v>0</v>
      </c>
      <c r="I37" s="122">
        <f>(F37*$E$37)*H37</f>
        <v>0</v>
      </c>
      <c r="J37" s="121">
        <f>IF(ISERROR(I37/H37),0,(I37/H37))</f>
        <v>0</v>
      </c>
    </row>
    <row r="38" spans="1:12" ht="13.5" thickBot="1">
      <c r="A38" s="129" t="s">
        <v>168</v>
      </c>
      <c r="B38" s="128">
        <f>Summary!M11</f>
        <v>47299</v>
      </c>
      <c r="D38" s="126"/>
      <c r="E38" s="125"/>
      <c r="F38" s="124">
        <f>IF(OR($B$38&lt;$K18,$B$37&gt;$L18),0,(MIN($B$38,$L18)-MAX($B$37,$K18)+1))</f>
        <v>0</v>
      </c>
      <c r="G38" s="124">
        <f>ROUND(IF(ISERROR(F38/365),0,(F38/365))*12,0)</f>
        <v>0</v>
      </c>
      <c r="H38" s="123">
        <f>IF(OR($B$38&lt;$K18,$B$37&gt;$L18),0,M18)</f>
        <v>0</v>
      </c>
      <c r="I38" s="122">
        <f>(F38*$E$37)*H38</f>
        <v>0</v>
      </c>
      <c r="J38" s="121">
        <f>IF(ISERROR(I38/H38),0,(I38/H38))</f>
        <v>0</v>
      </c>
      <c r="K38" s="143"/>
      <c r="L38" s="143"/>
    </row>
    <row r="39" spans="1:12">
      <c r="C39" s="127"/>
      <c r="D39" s="126"/>
      <c r="E39" s="125"/>
      <c r="F39" s="124">
        <f>IF(OR($B$38&lt;$K19,$B$37&gt;$L19),0,(MIN($B$38,$L19)-MAX($B$37,$K19)+1))</f>
        <v>0</v>
      </c>
      <c r="G39" s="124">
        <f>ROUND(IF(ISERROR(F39/365),0,(F39/365))*12,0)</f>
        <v>0</v>
      </c>
      <c r="H39" s="123">
        <f>IF(OR($B$38&lt;$K19,$B$37&gt;$L19),0,M19)</f>
        <v>0</v>
      </c>
      <c r="I39" s="122">
        <f>(F39*$E$37)*H39</f>
        <v>0</v>
      </c>
      <c r="J39" s="121">
        <f>IF(ISERROR(I39/H39),0,(I39/H39))</f>
        <v>0</v>
      </c>
      <c r="K39" s="143"/>
      <c r="L39" s="143"/>
    </row>
    <row r="40" spans="1:12">
      <c r="C40" s="127"/>
      <c r="D40" s="126"/>
      <c r="E40" s="125"/>
      <c r="F40" s="124">
        <f>IF(OR($B$38&lt;$K20,$B$37&gt;$L20),0,(MIN($B$38,$L20)-MAX($B$37,$K20)+1))</f>
        <v>0</v>
      </c>
      <c r="G40" s="124">
        <f>ROUND(IF(ISERROR(F40/365),0,(F40/365))*12,0)</f>
        <v>0</v>
      </c>
      <c r="H40" s="123">
        <f>IF(OR($B$38&lt;$K20,$B$37&gt;$L20),0,M20)</f>
        <v>0</v>
      </c>
      <c r="I40" s="122">
        <f>(F40*$E$37)*H40</f>
        <v>0</v>
      </c>
      <c r="J40" s="121">
        <f>IF(ISERROR(I40/H40),0,(I40/H40))</f>
        <v>0</v>
      </c>
      <c r="K40" s="143"/>
      <c r="L40" s="143"/>
    </row>
    <row r="41" spans="1:12">
      <c r="B41" s="120"/>
      <c r="C41" s="119"/>
      <c r="D41" s="118"/>
      <c r="E41" s="117"/>
      <c r="F41" s="116">
        <f>IF(OR($B$38&lt;$K21,$B$37&gt;$L21),0,(MIN($B$38,$L21)-MAX($B$37,$K21)+1))</f>
        <v>365</v>
      </c>
      <c r="G41" s="116">
        <f>ROUND(IF(ISERROR(F41/365),0,(F41/365))*12,0)</f>
        <v>12</v>
      </c>
      <c r="H41" s="115">
        <f>IF(OR($B$38&lt;$K21,$B$37&gt;$L21),0,M21)</f>
        <v>0.53</v>
      </c>
      <c r="I41" s="114">
        <f>(F41*$E$37)*H41</f>
        <v>0</v>
      </c>
      <c r="J41" s="113">
        <f>IF(ISERROR(I41/H41),0,(I41/H41))</f>
        <v>0</v>
      </c>
    </row>
    <row r="42" spans="1:12" ht="12.95">
      <c r="B42" s="112" t="s">
        <v>169</v>
      </c>
      <c r="C42" s="111"/>
      <c r="D42" s="110">
        <f>SUM(D37:D41)</f>
        <v>0</v>
      </c>
      <c r="E42" s="109"/>
      <c r="F42" s="108">
        <f>SUM(F37:F41)</f>
        <v>365</v>
      </c>
      <c r="G42" s="108">
        <f>SUM(G37:G41)</f>
        <v>12</v>
      </c>
      <c r="H42" s="107">
        <f>AVERAGEIF(H37:H41,"&lt;&gt;0")</f>
        <v>0.53</v>
      </c>
      <c r="I42" s="106">
        <f>SUM(I37:I41)</f>
        <v>0</v>
      </c>
      <c r="J42" s="105">
        <f>SUM(J37:J41)</f>
        <v>0</v>
      </c>
      <c r="K42" s="143"/>
    </row>
    <row r="43" spans="1:12">
      <c r="F43" s="140"/>
      <c r="K43" s="143"/>
    </row>
    <row r="44" spans="1:12">
      <c r="F44" s="140"/>
    </row>
    <row r="45" spans="1:12" ht="13.5" thickBot="1">
      <c r="A45" s="142" t="s">
        <v>172</v>
      </c>
      <c r="B45" s="139" t="s">
        <v>151</v>
      </c>
      <c r="C45" s="140" t="s">
        <v>152</v>
      </c>
      <c r="D45" s="141" t="s">
        <v>153</v>
      </c>
      <c r="E45" s="140" t="s">
        <v>152</v>
      </c>
      <c r="F45" s="140"/>
      <c r="G45" s="140" t="s">
        <v>152</v>
      </c>
      <c r="I45" s="140" t="s">
        <v>152</v>
      </c>
      <c r="J45" s="140" t="s">
        <v>152</v>
      </c>
      <c r="K45" s="143"/>
    </row>
    <row r="46" spans="1:12" ht="13.5" thickBot="1">
      <c r="B46" s="139" t="s">
        <v>155</v>
      </c>
      <c r="C46" s="116" t="s">
        <v>156</v>
      </c>
      <c r="D46" s="138" t="s">
        <v>157</v>
      </c>
      <c r="E46" s="137" t="s">
        <v>158</v>
      </c>
      <c r="F46" s="116" t="s">
        <v>159</v>
      </c>
      <c r="G46" s="116" t="s">
        <v>160</v>
      </c>
      <c r="H46" s="136" t="s">
        <v>161</v>
      </c>
      <c r="I46" s="136" t="s">
        <v>162</v>
      </c>
      <c r="J46" s="135" t="s">
        <v>163</v>
      </c>
    </row>
    <row r="47" spans="1:12" ht="13.5" thickBot="1">
      <c r="A47" s="134" t="s">
        <v>167</v>
      </c>
      <c r="B47" s="128">
        <f>Summary!N11</f>
        <v>47300</v>
      </c>
      <c r="C47" s="133">
        <f>ROUND(IF((B47=0),0,(B48-B47))/30,0)</f>
        <v>12</v>
      </c>
      <c r="D47" s="132">
        <f>Summary!O108</f>
        <v>0</v>
      </c>
      <c r="E47" s="131">
        <f>IF(ISERROR(D47/F52),0,(D47/F52))</f>
        <v>0</v>
      </c>
      <c r="F47" s="130">
        <f>IF(OR($B$48&lt;$K17,$B$47&gt;$L17),0,(MIN($B$48,$L17)-MAX($B$47,$K17)+1))</f>
        <v>0</v>
      </c>
      <c r="G47" s="124">
        <f>ROUND(IF(ISERROR(F47/365),0,(F47/365))*12,0)</f>
        <v>0</v>
      </c>
      <c r="H47" s="123">
        <f>IF(OR($B$48&lt;$K17,$B$47&gt;$L17),0,M17)</f>
        <v>0</v>
      </c>
      <c r="I47" s="122">
        <f>(F47*$E$47)*H47</f>
        <v>0</v>
      </c>
      <c r="J47" s="121">
        <f>IF(ISERROR(I47/H47),0,(I47/H47))</f>
        <v>0</v>
      </c>
    </row>
    <row r="48" spans="1:12" ht="13.5" thickBot="1">
      <c r="A48" s="129" t="s">
        <v>168</v>
      </c>
      <c r="B48" s="128">
        <f>Summary!O11</f>
        <v>47664</v>
      </c>
      <c r="D48" s="126"/>
      <c r="E48" s="125"/>
      <c r="F48" s="124">
        <f>IF(OR($B$48&lt;$K18,$B$47&gt;$L18),0,(MIN($B$48,$L18)-MAX($B$47,$K18)+1))</f>
        <v>0</v>
      </c>
      <c r="G48" s="124">
        <f>ROUND(IF(ISERROR(F48/365),0,(F48/365))*12,0)</f>
        <v>0</v>
      </c>
      <c r="H48" s="123">
        <f>IF(OR($B$48&lt;$K18,$B$47&gt;$L18),0,M18)</f>
        <v>0</v>
      </c>
      <c r="I48" s="122">
        <f>(F48*$E$47)*H48</f>
        <v>0</v>
      </c>
      <c r="J48" s="121">
        <f>IF(ISERROR(I48/H48),0,(I48/H48))</f>
        <v>0</v>
      </c>
      <c r="K48" s="144"/>
    </row>
    <row r="49" spans="1:11">
      <c r="C49" s="127"/>
      <c r="D49" s="126"/>
      <c r="E49" s="125"/>
      <c r="F49" s="124">
        <f>IF(OR($B$48&lt;$K19,$B$47&gt;$L19),0,(MIN($B$48,$L19)-MAX($B$47,$K19)+1))</f>
        <v>0</v>
      </c>
      <c r="G49" s="124">
        <f>ROUND(IF(ISERROR(F49/365),0,(F49/365))*12,0)</f>
        <v>0</v>
      </c>
      <c r="H49" s="123">
        <f>IF(OR($B$48&lt;$K19,$B$47&gt;$L19),0,M19)</f>
        <v>0</v>
      </c>
      <c r="I49" s="122">
        <f>(F49*$E$47)*H49</f>
        <v>0</v>
      </c>
      <c r="J49" s="121">
        <f>IF(ISERROR(I49/H49),0,(I49/H49))</f>
        <v>0</v>
      </c>
    </row>
    <row r="50" spans="1:11">
      <c r="C50" s="127"/>
      <c r="D50" s="126"/>
      <c r="E50" s="125"/>
      <c r="F50" s="124">
        <f>IF(OR($B$48&lt;$K20,$B$47&gt;$L20),0,(MIN($B$48,$L20)-MAX($B$47,$K20)+1))</f>
        <v>0</v>
      </c>
      <c r="G50" s="124">
        <f>ROUND(IF(ISERROR(F50/365),0,(F50/365))*12,0)</f>
        <v>0</v>
      </c>
      <c r="H50" s="123">
        <f>IF(OR($B$48&lt;$K20,$B$47&gt;$L20),0,M20)</f>
        <v>0</v>
      </c>
      <c r="I50" s="122">
        <f>(F50*$E$47)*H50</f>
        <v>0</v>
      </c>
      <c r="J50" s="121">
        <f>IF(ISERROR(I50/H50),0,(I50/H50))</f>
        <v>0</v>
      </c>
      <c r="K50" s="144"/>
    </row>
    <row r="51" spans="1:11">
      <c r="B51" s="120"/>
      <c r="C51" s="119"/>
      <c r="D51" s="118"/>
      <c r="E51" s="117"/>
      <c r="F51" s="116">
        <f>IF(OR($B$48&lt;$K21,$B$47&gt;$L21),0,(MIN($B$48,$L21)-MAX($B$47,$K21)+1))</f>
        <v>365</v>
      </c>
      <c r="G51" s="116">
        <f>ROUND(IF(ISERROR(F51/365),0,(F51/365))*12,0)</f>
        <v>12</v>
      </c>
      <c r="H51" s="115">
        <f>IF(OR($B$48&lt;$K21,$B$47&gt;$L21),0,M21)</f>
        <v>0.53</v>
      </c>
      <c r="I51" s="114">
        <f>(F51*$E$47)*H51</f>
        <v>0</v>
      </c>
      <c r="J51" s="113">
        <f>IF(ISERROR(I51/H51),0,(I51/H51))</f>
        <v>0</v>
      </c>
    </row>
    <row r="52" spans="1:11" ht="12.95">
      <c r="B52" s="112" t="s">
        <v>169</v>
      </c>
      <c r="C52" s="111"/>
      <c r="D52" s="110">
        <f>SUM(D47:D51)</f>
        <v>0</v>
      </c>
      <c r="E52" s="109"/>
      <c r="F52" s="108">
        <f>SUM(F47:F51)</f>
        <v>365</v>
      </c>
      <c r="G52" s="108">
        <f>SUM(G47:G51)</f>
        <v>12</v>
      </c>
      <c r="H52" s="107">
        <f>AVERAGEIF(H47:H51,"&lt;&gt;0")</f>
        <v>0.53</v>
      </c>
      <c r="I52" s="106">
        <f>SUM(I47:I51)</f>
        <v>0</v>
      </c>
      <c r="J52" s="105">
        <f>SUM(J47:J51)</f>
        <v>0</v>
      </c>
    </row>
    <row r="53" spans="1:11">
      <c r="F53" s="140"/>
    </row>
    <row r="54" spans="1:11">
      <c r="F54" s="140"/>
    </row>
    <row r="55" spans="1:11" ht="13.5" thickBot="1">
      <c r="A55" s="142" t="s">
        <v>173</v>
      </c>
      <c r="B55" s="139" t="s">
        <v>151</v>
      </c>
      <c r="C55" s="140" t="s">
        <v>152</v>
      </c>
      <c r="D55" s="141" t="s">
        <v>153</v>
      </c>
      <c r="E55" s="140" t="s">
        <v>152</v>
      </c>
      <c r="F55" s="140"/>
      <c r="G55" s="140" t="s">
        <v>152</v>
      </c>
      <c r="I55" s="140" t="s">
        <v>152</v>
      </c>
      <c r="J55" s="140" t="s">
        <v>152</v>
      </c>
    </row>
    <row r="56" spans="1:11" ht="13.5" thickBot="1">
      <c r="B56" s="139" t="s">
        <v>155</v>
      </c>
      <c r="C56" s="116" t="s">
        <v>156</v>
      </c>
      <c r="D56" s="138" t="s">
        <v>157</v>
      </c>
      <c r="E56" s="137" t="s">
        <v>158</v>
      </c>
      <c r="F56" s="116" t="s">
        <v>159</v>
      </c>
      <c r="G56" s="116" t="s">
        <v>160</v>
      </c>
      <c r="H56" s="136" t="s">
        <v>161</v>
      </c>
      <c r="I56" s="136" t="s">
        <v>162</v>
      </c>
      <c r="J56" s="135" t="s">
        <v>163</v>
      </c>
      <c r="K56" s="143"/>
    </row>
    <row r="57" spans="1:11" ht="13.5" thickBot="1">
      <c r="A57" s="134" t="s">
        <v>167</v>
      </c>
      <c r="B57" s="128">
        <f>Summary!P11</f>
        <v>47665</v>
      </c>
      <c r="C57" s="133">
        <f>ROUND(IF((B57=0),0,(B58-B57))/30,0)</f>
        <v>12</v>
      </c>
      <c r="D57" s="132">
        <f>Summary!Q108</f>
        <v>0</v>
      </c>
      <c r="E57" s="131">
        <f>IF(ISERROR(D57/F62),0,(D57/F62))</f>
        <v>0</v>
      </c>
      <c r="F57" s="130">
        <f>IF(OR($B$58&lt;$K17,$B$57&gt;$L17),0,(MIN($B$58,$L17)-MAX($B$57,$K17)+1))</f>
        <v>0</v>
      </c>
      <c r="G57" s="124">
        <f>ROUND(IF(ISERROR(F57/365),0,(F57/365))*12,0)</f>
        <v>0</v>
      </c>
      <c r="H57" s="123">
        <f>IF(OR($B$58&lt;$K17,$B$57&gt;$L17),0,M17)</f>
        <v>0</v>
      </c>
      <c r="I57" s="122">
        <f>(F57*$E$57)*H57</f>
        <v>0</v>
      </c>
      <c r="J57" s="121">
        <f>IF(ISERROR(I57/H57),0,(I57/H57))</f>
        <v>0</v>
      </c>
    </row>
    <row r="58" spans="1:11" ht="13.5" thickBot="1">
      <c r="A58" s="129" t="s">
        <v>168</v>
      </c>
      <c r="B58" s="128">
        <f>Summary!Q11</f>
        <v>48029</v>
      </c>
      <c r="D58" s="126"/>
      <c r="E58" s="125"/>
      <c r="F58" s="124">
        <f>IF(OR($B$58&lt;$K18,$B$57&gt;$L18),0,(MIN($B$58,$L18)-MAX($B$57,$K18)+1))</f>
        <v>0</v>
      </c>
      <c r="G58" s="124">
        <f>ROUND(IF(ISERROR(F58/365),0,(F58/365))*12,0)</f>
        <v>0</v>
      </c>
      <c r="H58" s="123">
        <f>IF(OR($B$58&lt;$K18,$B$57&gt;$L18),0,M18)</f>
        <v>0</v>
      </c>
      <c r="I58" s="122">
        <f>(F58*$E$57)*H58</f>
        <v>0</v>
      </c>
      <c r="J58" s="121">
        <f>IF(ISERROR(I58/H58),0,(I58/H58))</f>
        <v>0</v>
      </c>
    </row>
    <row r="59" spans="1:11">
      <c r="C59" s="127"/>
      <c r="D59" s="126"/>
      <c r="E59" s="125"/>
      <c r="F59" s="124">
        <f>IF(OR($B$58&lt;$K19,$B$57&gt;$L19),0,(MIN($B$58,$L19)-MAX($B$57,$K19)+1))</f>
        <v>0</v>
      </c>
      <c r="G59" s="124">
        <f>ROUND(IF(ISERROR(F59/365),0,(F59/365))*12,0)</f>
        <v>0</v>
      </c>
      <c r="H59" s="123">
        <f>IF(OR($B$58&lt;$K19,$B$57&gt;$L19),0,M19)</f>
        <v>0</v>
      </c>
      <c r="I59" s="122">
        <f>(F59*$E$57)*H59</f>
        <v>0</v>
      </c>
      <c r="J59" s="121">
        <f>IF(ISERROR(I59/H59),0,(I59/H59))</f>
        <v>0</v>
      </c>
    </row>
    <row r="60" spans="1:11">
      <c r="C60" s="127"/>
      <c r="D60" s="126"/>
      <c r="E60" s="125"/>
      <c r="F60" s="124">
        <f>IF(OR($B$58&lt;$K20,$B$57&gt;$L20),0,(MIN($B$58,$L20)-MAX($B$57,$K20)+1))</f>
        <v>0</v>
      </c>
      <c r="G60" s="124">
        <f>ROUND(IF(ISERROR(F60/365),0,(F60/365))*12,0)</f>
        <v>0</v>
      </c>
      <c r="H60" s="123">
        <f>IF(OR($B$58&lt;$K20,$B$57&gt;$L20),0,M20)</f>
        <v>0</v>
      </c>
      <c r="I60" s="122">
        <f>(F60*$E$57)*H60</f>
        <v>0</v>
      </c>
      <c r="J60" s="121">
        <f>IF(ISERROR(I60/H60),0,(I60/H60))</f>
        <v>0</v>
      </c>
    </row>
    <row r="61" spans="1:11">
      <c r="B61" s="120"/>
      <c r="C61" s="119"/>
      <c r="D61" s="118"/>
      <c r="E61" s="117"/>
      <c r="F61" s="116">
        <f>IF(OR($B$58&lt;$K21,$B$57&gt;$L21),0,(MIN($B$58,$L21)-MAX($B$57,$K21)+1))</f>
        <v>0</v>
      </c>
      <c r="G61" s="116">
        <f>ROUND(IF(ISERROR(F61/365),0,(F61/365))*12,0)</f>
        <v>0</v>
      </c>
      <c r="H61" s="115">
        <f>IF(OR($B$58&lt;$K21,$B$57&gt;$L21),0,M21)</f>
        <v>0</v>
      </c>
      <c r="I61" s="114">
        <f>(F61*$E$57)*H61</f>
        <v>0</v>
      </c>
      <c r="J61" s="113">
        <f>IF(ISERROR(I61/H61),0,(I61/H61))</f>
        <v>0</v>
      </c>
    </row>
    <row r="62" spans="1:11" ht="12.95">
      <c r="B62" s="112" t="s">
        <v>169</v>
      </c>
      <c r="C62" s="111"/>
      <c r="D62" s="110">
        <f>SUM(D57:D61)</f>
        <v>0</v>
      </c>
      <c r="E62" s="109"/>
      <c r="F62" s="108">
        <f>SUM(F57:F61)</f>
        <v>0</v>
      </c>
      <c r="G62" s="108">
        <f>SUM(G57:G61)</f>
        <v>0</v>
      </c>
      <c r="H62" s="107" t="e">
        <f>AVERAGEIF(H57:H61,"&lt;&gt;0")</f>
        <v>#DIV/0!</v>
      </c>
      <c r="I62" s="106">
        <f>SUM(I57:I61)</f>
        <v>0</v>
      </c>
      <c r="J62" s="105">
        <f>SUM(J57:J61)</f>
        <v>0</v>
      </c>
    </row>
    <row r="63" spans="1:11">
      <c r="F63" s="140"/>
    </row>
    <row r="64" spans="1:11">
      <c r="F64" s="140"/>
    </row>
    <row r="65" spans="1:10" ht="13.5" thickBot="1">
      <c r="A65" s="142" t="s">
        <v>174</v>
      </c>
      <c r="B65" s="139" t="s">
        <v>151</v>
      </c>
      <c r="C65" s="140" t="s">
        <v>152</v>
      </c>
      <c r="D65" s="141" t="s">
        <v>153</v>
      </c>
      <c r="E65" s="140" t="s">
        <v>152</v>
      </c>
      <c r="F65" s="140"/>
      <c r="G65" s="140" t="s">
        <v>152</v>
      </c>
      <c r="I65" s="140" t="s">
        <v>152</v>
      </c>
      <c r="J65" s="140" t="s">
        <v>152</v>
      </c>
    </row>
    <row r="66" spans="1:10" ht="13.5" thickBot="1">
      <c r="B66" s="139" t="s">
        <v>155</v>
      </c>
      <c r="C66" s="116" t="s">
        <v>156</v>
      </c>
      <c r="D66" s="138" t="s">
        <v>157</v>
      </c>
      <c r="E66" s="137" t="s">
        <v>158</v>
      </c>
      <c r="F66" s="116" t="s">
        <v>159</v>
      </c>
      <c r="G66" s="116" t="s">
        <v>160</v>
      </c>
      <c r="H66" s="136" t="s">
        <v>161</v>
      </c>
      <c r="I66" s="136" t="s">
        <v>162</v>
      </c>
      <c r="J66" s="135" t="s">
        <v>163</v>
      </c>
    </row>
    <row r="67" spans="1:10" ht="13.5" thickBot="1">
      <c r="A67" s="134" t="s">
        <v>167</v>
      </c>
      <c r="B67" s="128"/>
      <c r="C67" s="133">
        <f>ROUND(IF((B67=0),0,(B68-B67))/30,0)</f>
        <v>0</v>
      </c>
      <c r="D67" s="132">
        <v>0</v>
      </c>
      <c r="E67" s="131">
        <f>IF(ISERROR(D67/F72),0,(D67/F72))</f>
        <v>0</v>
      </c>
      <c r="F67" s="130">
        <f>IF(OR($B$68&lt;$K17,$B$67&gt;$L17),0,(MIN($B$68,$L17)-MAX($B$67,$K17)+1))</f>
        <v>0</v>
      </c>
      <c r="G67" s="124">
        <f>ROUND(IF(ISERROR(F67/365),0,(F67/365))*12,0)</f>
        <v>0</v>
      </c>
      <c r="H67" s="123">
        <f>IF(OR($B$68&lt;$K17,$B$67&gt;$L17),0,M17)</f>
        <v>0</v>
      </c>
      <c r="I67" s="122">
        <f>(F67*$E$67)*H67</f>
        <v>0</v>
      </c>
      <c r="J67" s="121">
        <f>IF(ISERROR(I67/H67),0,(I67/H67))</f>
        <v>0</v>
      </c>
    </row>
    <row r="68" spans="1:10" ht="13.5" thickBot="1">
      <c r="A68" s="129" t="s">
        <v>168</v>
      </c>
      <c r="B68" s="128"/>
      <c r="D68" s="126"/>
      <c r="E68" s="125"/>
      <c r="F68" s="124">
        <f>IF(OR($B$68&lt;$K18,$B$67&gt;$L18),0,(MIN($B$68,$L18)-MAX($B$67,$K18)+1))</f>
        <v>0</v>
      </c>
      <c r="G68" s="124">
        <f>ROUND(IF(ISERROR(F68/365),0,(F68/365))*12,0)</f>
        <v>0</v>
      </c>
      <c r="H68" s="123">
        <f>IF(OR($B$68&lt;$K18,$B$67&gt;$L18),0,M18)</f>
        <v>0</v>
      </c>
      <c r="I68" s="122">
        <f>(F68*$E$67)*H68</f>
        <v>0</v>
      </c>
      <c r="J68" s="121">
        <f>IF(ISERROR(I68/H68),0,(I68/H68))</f>
        <v>0</v>
      </c>
    </row>
    <row r="69" spans="1:10">
      <c r="C69" s="127"/>
      <c r="D69" s="126"/>
      <c r="E69" s="125"/>
      <c r="F69" s="124">
        <f>IF(OR($B$68&lt;$K19,$B$67&gt;$L19),0,(MIN($B$68,$L19)-MAX($B$67,$K19)+1))</f>
        <v>0</v>
      </c>
      <c r="G69" s="124">
        <f>ROUND(IF(ISERROR(F69/365),0,(F69/365))*12,0)</f>
        <v>0</v>
      </c>
      <c r="H69" s="123">
        <f>IF(OR($B$68&lt;$K19,$B$67&gt;$L19),0,M19)</f>
        <v>0</v>
      </c>
      <c r="I69" s="122">
        <f>(F69*$E$67)*H69</f>
        <v>0</v>
      </c>
      <c r="J69" s="121">
        <f>IF(ISERROR(I69/H69),0,(I69/H69))</f>
        <v>0</v>
      </c>
    </row>
    <row r="70" spans="1:10">
      <c r="C70" s="127"/>
      <c r="D70" s="126"/>
      <c r="E70" s="125"/>
      <c r="F70" s="124">
        <f>IF(OR($B$68&lt;$K20,$B$67&gt;$L20),0,(MIN($B$68,$L20)-MAX($B$67,$K20)+1))</f>
        <v>0</v>
      </c>
      <c r="G70" s="124">
        <f>ROUND(IF(ISERROR(F70/365),0,(F70/365))*12,0)</f>
        <v>0</v>
      </c>
      <c r="H70" s="123">
        <f>IF(OR($B$68&lt;$K20,$B$67&gt;$L20),0,M20)</f>
        <v>0</v>
      </c>
      <c r="I70" s="122">
        <f>(F70*$E$67)*H70</f>
        <v>0</v>
      </c>
      <c r="J70" s="121">
        <f>IF(ISERROR(I70/H70),0,(I70/H70))</f>
        <v>0</v>
      </c>
    </row>
    <row r="71" spans="1:10">
      <c r="B71" s="120"/>
      <c r="C71" s="119"/>
      <c r="D71" s="118"/>
      <c r="E71" s="117"/>
      <c r="F71" s="116">
        <f>IF(OR($B$68&lt;$K21,$B$67&gt;$L21),0,(MIN($B$68,$L21)-MAX($B$67,$K21)+1))</f>
        <v>0</v>
      </c>
      <c r="G71" s="116">
        <f>ROUND(IF(ISERROR(F71/365),0,(F71/365))*12,0)</f>
        <v>0</v>
      </c>
      <c r="H71" s="115">
        <f>IF(OR($B$68&lt;$K21,$B$67&gt;$L21),0,M21)</f>
        <v>0</v>
      </c>
      <c r="I71" s="114">
        <f>(F71*$E$67)*H71</f>
        <v>0</v>
      </c>
      <c r="J71" s="113">
        <f>IF(ISERROR(I71/H71),0,(I71/H71))</f>
        <v>0</v>
      </c>
    </row>
    <row r="72" spans="1:10" ht="12.95">
      <c r="B72" s="112" t="s">
        <v>169</v>
      </c>
      <c r="C72" s="111"/>
      <c r="D72" s="110">
        <f>SUM(D67:D71)</f>
        <v>0</v>
      </c>
      <c r="E72" s="109"/>
      <c r="F72" s="108">
        <f>SUM(F67:F71)</f>
        <v>0</v>
      </c>
      <c r="G72" s="108">
        <f>SUM(G67:G71)</f>
        <v>0</v>
      </c>
      <c r="H72" s="107" t="e">
        <f>AVERAGEIF(H67:H71,"&lt;&gt;0")</f>
        <v>#DIV/0!</v>
      </c>
      <c r="I72" s="106">
        <f>SUM(I67:I71)</f>
        <v>0</v>
      </c>
      <c r="J72" s="105">
        <f>SUM(J67:J71)</f>
        <v>0</v>
      </c>
    </row>
    <row r="73" spans="1:10">
      <c r="F73" s="140"/>
    </row>
    <row r="74" spans="1:10">
      <c r="F74" s="140"/>
    </row>
    <row r="75" spans="1:10" ht="13.5" thickBot="1">
      <c r="A75" s="142" t="s">
        <v>175</v>
      </c>
      <c r="B75" s="139" t="s">
        <v>151</v>
      </c>
      <c r="C75" s="140" t="s">
        <v>152</v>
      </c>
      <c r="D75" s="141" t="s">
        <v>153</v>
      </c>
      <c r="E75" s="140" t="s">
        <v>152</v>
      </c>
      <c r="F75" s="140"/>
      <c r="G75" s="140" t="s">
        <v>152</v>
      </c>
      <c r="I75" s="140" t="s">
        <v>152</v>
      </c>
      <c r="J75" s="140" t="s">
        <v>152</v>
      </c>
    </row>
    <row r="76" spans="1:10" ht="13.5" thickBot="1">
      <c r="B76" s="139" t="s">
        <v>155</v>
      </c>
      <c r="C76" s="116" t="s">
        <v>156</v>
      </c>
      <c r="D76" s="138" t="s">
        <v>157</v>
      </c>
      <c r="E76" s="137" t="s">
        <v>158</v>
      </c>
      <c r="F76" s="116" t="s">
        <v>159</v>
      </c>
      <c r="G76" s="116" t="s">
        <v>160</v>
      </c>
      <c r="H76" s="136" t="s">
        <v>161</v>
      </c>
      <c r="I76" s="136" t="s">
        <v>162</v>
      </c>
      <c r="J76" s="135" t="s">
        <v>163</v>
      </c>
    </row>
    <row r="77" spans="1:10" ht="13.5" thickBot="1">
      <c r="A77" s="134" t="s">
        <v>167</v>
      </c>
      <c r="B77" s="128"/>
      <c r="C77" s="133">
        <f>ROUND(IF((B77=0),0,(B78-B77))/30,0)</f>
        <v>0</v>
      </c>
      <c r="D77" s="132">
        <v>0</v>
      </c>
      <c r="E77" s="131">
        <f>IF(ISERROR(D77/F82),0,(D77/F82))</f>
        <v>0</v>
      </c>
      <c r="F77" s="130">
        <f>IF(OR($B$78&lt;$K17,$B$77&gt;$L17),0,(MIN($B$78,$L17)-MAX($B$77,$K17)+1))</f>
        <v>0</v>
      </c>
      <c r="G77" s="124">
        <f>ROUND(IF(ISERROR(F77/365),0,(F77/365))*12,0)</f>
        <v>0</v>
      </c>
      <c r="H77" s="123">
        <f>IF(OR($B$78&lt;$K17,$B$77&gt;$L17),0,M17)</f>
        <v>0</v>
      </c>
      <c r="I77" s="122">
        <f>(F77*$E$77)*H77</f>
        <v>0</v>
      </c>
      <c r="J77" s="121">
        <f>IF(ISERROR(I77/H77),0,(I77/H77))</f>
        <v>0</v>
      </c>
    </row>
    <row r="78" spans="1:10" ht="13.5" thickBot="1">
      <c r="A78" s="129" t="s">
        <v>168</v>
      </c>
      <c r="B78" s="128"/>
      <c r="D78" s="126"/>
      <c r="E78" s="125"/>
      <c r="F78" s="124">
        <f>IF(OR($B$78&lt;$K18,$B$77&gt;$L18),0,(MIN($B$78,$L18)-MAX($B$77,$K18)+1))</f>
        <v>0</v>
      </c>
      <c r="G78" s="124">
        <f>ROUND(IF(ISERROR(F78/365),0,(F78/365))*12,0)</f>
        <v>0</v>
      </c>
      <c r="H78" s="123">
        <f>IF(OR($B$78&lt;$K18,$B$77&gt;$L18),0,M18)</f>
        <v>0</v>
      </c>
      <c r="I78" s="122">
        <f>(F78*$E$77)*H78</f>
        <v>0</v>
      </c>
      <c r="J78" s="121">
        <f>IF(ISERROR(I78/H78),0,(I78/H78))</f>
        <v>0</v>
      </c>
    </row>
    <row r="79" spans="1:10">
      <c r="C79" s="127"/>
      <c r="D79" s="126"/>
      <c r="E79" s="125"/>
      <c r="F79" s="124">
        <f>IF(OR($B$78&lt;$K19,$B$77&gt;$L19),0,(MIN($B$78,$L19)-MAX($B$77,$K19)+1))</f>
        <v>0</v>
      </c>
      <c r="G79" s="124">
        <f>ROUND(IF(ISERROR(F79/365),0,(F79/365))*12,0)</f>
        <v>0</v>
      </c>
      <c r="H79" s="123">
        <f>IF(OR($B$78&lt;$K19,$B$77&gt;$L19),0,M19)</f>
        <v>0</v>
      </c>
      <c r="I79" s="122">
        <f>(F79*$E$77)*H79</f>
        <v>0</v>
      </c>
      <c r="J79" s="121">
        <f>IF(ISERROR(I79/H79),0,(I79/H79))</f>
        <v>0</v>
      </c>
    </row>
    <row r="80" spans="1:10">
      <c r="C80" s="127"/>
      <c r="D80" s="126"/>
      <c r="E80" s="125"/>
      <c r="F80" s="124">
        <f>IF(OR($B$78&lt;$K20,$B$77&gt;$L20),0,(MIN($B$78,$L20)-MAX($B$77,$K20)+1))</f>
        <v>0</v>
      </c>
      <c r="G80" s="124">
        <f>ROUND(IF(ISERROR(F80/365),0,(F80/365))*12,0)</f>
        <v>0</v>
      </c>
      <c r="H80" s="123">
        <f>IF(OR($B$78&lt;$K20,$B$77&gt;$L20),0,M20)</f>
        <v>0</v>
      </c>
      <c r="I80" s="122">
        <f>(F80*$E$77)*H80</f>
        <v>0</v>
      </c>
      <c r="J80" s="121">
        <f>IF(ISERROR(I80/H80),0,(I80/H80))</f>
        <v>0</v>
      </c>
    </row>
    <row r="81" spans="2:10">
      <c r="B81" s="120"/>
      <c r="C81" s="119"/>
      <c r="D81" s="118"/>
      <c r="E81" s="117"/>
      <c r="F81" s="116">
        <f>IF(OR($B$78&lt;$K21,$B$77&gt;$L21),0,(MIN($B$78,$L21)-MAX($B$77,$K21)+1))</f>
        <v>0</v>
      </c>
      <c r="G81" s="116">
        <f>ROUND(IF(ISERROR(F81/365),0,(F81/365))*12,0)</f>
        <v>0</v>
      </c>
      <c r="H81" s="115">
        <f>IF(OR($B$78&lt;$K21,$B$77&gt;$L21),0,M21)</f>
        <v>0</v>
      </c>
      <c r="I81" s="114">
        <f>(F81*$E$77)*H81</f>
        <v>0</v>
      </c>
      <c r="J81" s="113">
        <f>IF(ISERROR(I81/H81),0,(I81/H81))</f>
        <v>0</v>
      </c>
    </row>
    <row r="82" spans="2:10" ht="12.95">
      <c r="B82" s="112" t="s">
        <v>169</v>
      </c>
      <c r="C82" s="111"/>
      <c r="D82" s="110">
        <f>SUM(D77:D81)</f>
        <v>0</v>
      </c>
      <c r="E82" s="109"/>
      <c r="F82" s="108">
        <f>SUM(F77:F81)</f>
        <v>0</v>
      </c>
      <c r="G82" s="108">
        <f>SUM(G77:G81)</f>
        <v>0</v>
      </c>
      <c r="H82" s="107" t="e">
        <f>AVERAGEIF(H77:H81,"&lt;&gt;0")</f>
        <v>#DIV/0!</v>
      </c>
      <c r="I82" s="106">
        <f>SUM(I77:I81)</f>
        <v>0</v>
      </c>
      <c r="J82" s="105">
        <f>SUM(J77:J81)</f>
        <v>0</v>
      </c>
    </row>
  </sheetData>
  <sheetProtection selectLockedCells="1"/>
  <dataValidations count="10">
    <dataValidation type="custom" operator="greaterThan" allowBlank="1" showInputMessage="1" showErrorMessage="1" errorTitle="MTDC Amount" error="This amount must be greater than 0." promptTitle="MTDC" prompt="Enter the Modified Total Direct Cost amount (the amount that is eligible for F&amp;A)." sqref="D37" xr:uid="{00000000-0002-0000-0200-000000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47" xr:uid="{00000000-0002-0000-0200-000001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77" xr:uid="{00000000-0002-0000-0200-000002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67" xr:uid="{00000000-0002-0000-0200-000003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57" xr:uid="{00000000-0002-0000-0200-000004000000}">
      <formula1>IF(C57=0,D57=0,D57&gt;0)</formula1>
    </dataValidation>
    <dataValidation type="date" allowBlank="1" showInputMessage="1" showErrorMessage="1" errorTitle="Project Start Date" error="The Project Start date must be less than or equal to the Project End Date." sqref="B17" xr:uid="{00000000-0002-0000-0200-000005000000}">
      <formula1>40179</formula1>
      <formula2>47848</formula2>
    </dataValidation>
    <dataValidation type="custom" operator="greaterThanOrEqual" allowBlank="1" showInputMessage="1" showErrorMessage="1" errorTitle="MTDC Amount" error="This amount must be greater than 0." promptTitle="MTDC" prompt="Enter the Modified Total Direct Cost amount (the amount that is eligible for F&amp;A)." sqref="D27" xr:uid="{00000000-0002-0000-0200-000006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17" xr:uid="{00000000-0002-0000-0200-000007000000}">
      <formula1>IF(C57=0,D57=0,D57&gt;0)</formula1>
    </dataValidation>
    <dataValidation type="date" operator="greaterThanOrEqual" showErrorMessage="1" errorTitle="End Date" error="This date must be greater than or equal to the Project Start Date." promptTitle="Enter End Date" prompt="Date should be either the AWARD End Date or the PROJECT budget period End Date." sqref="B18 B28 B38 B48 B58 B68 B78" xr:uid="{00000000-0002-0000-0200-000008000000}">
      <formula1>B17</formula1>
    </dataValidation>
    <dataValidation type="date" allowBlank="1" showInputMessage="1" showErrorMessage="1" errorTitle="Project Start Date" error="The Project Start date must be less than or equal to the Project End Date." sqref="B47 B27 B57 B67 B77 B37" xr:uid="{00000000-0002-0000-0200-000009000000}">
      <formula1>41275</formula1>
      <formula2>47848</formula2>
    </dataValidation>
  </dataValidations>
  <pageMargins left="0.7" right="0.7" top="0.75" bottom="0.75" header="0.3" footer="0.3"/>
  <pageSetup paperSize="17"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C00000"/>
    <pageSetUpPr fitToPage="1"/>
  </sheetPr>
  <dimension ref="A1:Z260"/>
  <sheetViews>
    <sheetView showZeros="0" zoomScaleNormal="100" zoomScaleSheetLayoutView="70" zoomScalePageLayoutView="85" workbookViewId="0">
      <pane xSplit="9" ySplit="4" topLeftCell="J43" activePane="bottomRight" state="frozen"/>
      <selection pane="bottomRight" activeCell="F60" sqref="F60"/>
      <selection pane="bottomLeft" activeCell="A12" sqref="A12"/>
      <selection pane="topRight" activeCell="A12" sqref="A12"/>
    </sheetView>
  </sheetViews>
  <sheetFormatPr defaultColWidth="9.140625" defaultRowHeight="12.6"/>
  <cols>
    <col min="2" max="2" width="1.5703125" customWidth="1"/>
    <col min="4" max="4" width="1.5703125" customWidth="1"/>
    <col min="8" max="8" width="14.85546875" customWidth="1"/>
    <col min="9" max="9" width="16.140625" customWidth="1"/>
    <col min="10" max="10" width="2.5703125" customWidth="1"/>
    <col min="11" max="11" width="14" customWidth="1"/>
    <col min="12" max="12" width="2.5703125" customWidth="1"/>
    <col min="13" max="13" width="14" bestFit="1" customWidth="1"/>
    <col min="14" max="14" width="2.5703125" customWidth="1"/>
    <col min="15" max="15" width="12.42578125" customWidth="1"/>
    <col min="16" max="16" width="2.5703125" customWidth="1"/>
    <col min="17" max="17" width="12.42578125" customWidth="1"/>
    <col min="18" max="18" width="2.5703125" customWidth="1"/>
    <col min="19" max="19" width="12.42578125" customWidth="1"/>
    <col min="21" max="21" width="27.5703125" bestFit="1" customWidth="1"/>
    <col min="22" max="24" width="9.140625" customWidth="1"/>
    <col min="25" max="25" width="11.140625" customWidth="1"/>
  </cols>
  <sheetData>
    <row r="1" spans="1:19" s="97" customFormat="1" ht="15.6">
      <c r="C1" s="3" t="s">
        <v>176</v>
      </c>
      <c r="K1" s="2" t="s">
        <v>24</v>
      </c>
      <c r="M1" s="2" t="s">
        <v>25</v>
      </c>
      <c r="O1" s="2" t="s">
        <v>26</v>
      </c>
      <c r="Q1" s="2" t="s">
        <v>27</v>
      </c>
      <c r="S1" s="2" t="s">
        <v>28</v>
      </c>
    </row>
    <row r="2" spans="1:19" s="184" customFormat="1" ht="12.95">
      <c r="C2" s="4"/>
      <c r="K2" s="1"/>
      <c r="M2" s="1"/>
      <c r="O2" s="1"/>
      <c r="Q2" s="1"/>
      <c r="S2" s="1"/>
    </row>
    <row r="3" spans="1:19" s="185" customFormat="1" ht="24.95">
      <c r="C3" s="442"/>
      <c r="D3" s="442"/>
      <c r="E3" s="442"/>
      <c r="F3" s="442"/>
      <c r="G3" s="442"/>
      <c r="H3" s="442"/>
      <c r="I3" s="442"/>
      <c r="K3" s="185" t="s">
        <v>177</v>
      </c>
      <c r="M3" s="185" t="s">
        <v>177</v>
      </c>
      <c r="O3" s="185" t="s">
        <v>177</v>
      </c>
      <c r="Q3" s="185" t="s">
        <v>177</v>
      </c>
      <c r="S3" s="185" t="s">
        <v>177</v>
      </c>
    </row>
    <row r="4" spans="1:19" s="97" customFormat="1" ht="6" customHeight="1"/>
    <row r="5" spans="1:19" s="97" customFormat="1" ht="6" customHeight="1">
      <c r="C5" s="400"/>
      <c r="D5" s="400"/>
      <c r="E5" s="400"/>
      <c r="F5" s="400"/>
      <c r="G5" s="400"/>
      <c r="H5" s="400"/>
      <c r="I5" s="400"/>
      <c r="K5" s="98"/>
      <c r="M5" s="98"/>
      <c r="O5" s="98"/>
      <c r="Q5" s="98"/>
      <c r="S5" s="98"/>
    </row>
    <row r="6" spans="1:19" s="97" customFormat="1" ht="30" customHeight="1">
      <c r="A6" s="186"/>
      <c r="C6" s="433" t="s">
        <v>178</v>
      </c>
      <c r="D6" s="433"/>
      <c r="E6" s="433"/>
      <c r="F6" s="433"/>
      <c r="G6" s="440" t="s">
        <v>179</v>
      </c>
      <c r="H6" s="440"/>
      <c r="I6" s="187" t="s">
        <v>180</v>
      </c>
      <c r="K6" s="98">
        <f>ROUND(IF(I6="1/2-time",K7,K8),0)</f>
        <v>0</v>
      </c>
      <c r="M6" s="98">
        <f>ROUND(IF(I6="1/2-time",M7,M8),0)</f>
        <v>0</v>
      </c>
      <c r="O6" s="98">
        <f>ROUND(IF(I6="1/2-time",O7,O8),0)</f>
        <v>0</v>
      </c>
      <c r="Q6" s="98">
        <f>ROUND(IF(I6="1/2-time",Q7,Q8),0)</f>
        <v>0</v>
      </c>
      <c r="S6" s="98">
        <f>ROUND(IF(I6="1/2-time",S7,S8),0)</f>
        <v>0</v>
      </c>
    </row>
    <row r="7" spans="1:19" s="97" customFormat="1" ht="15.6" hidden="1">
      <c r="A7" s="97">
        <v>8</v>
      </c>
      <c r="C7" s="434" t="s">
        <v>181</v>
      </c>
      <c r="D7" s="434"/>
      <c r="E7" s="434"/>
      <c r="F7" s="434"/>
      <c r="G7" s="400"/>
      <c r="H7" s="400"/>
      <c r="I7" s="400" t="s">
        <v>182</v>
      </c>
      <c r="K7" s="98">
        <f>+C13*VLOOKUP(K13,$I$111:$Q$137,5,FALSE)+C15*VLOOKUP(K15,$I$111:$Q$137,5,FALSE)+C17*VLOOKUP(K17,$I$111:$Q$137,5,FALSE)+C19*VLOOKUP(K19,$I$111:$Q$137,9,FALSE)+C21*VLOOKUP(K21,$I$111:$Q$137,9,FALSE)+C23*VLOOKUP(K23,$I$111:$Q$137,9,FALSE)</f>
        <v>0</v>
      </c>
      <c r="M7" s="98">
        <f>+E13*VLOOKUP(M13,$I$111:$Q$137,5,FALSE)+E15*VLOOKUP(M15,$I$111:$Q$137,5,FALSE)+E17*VLOOKUP(M17,$I$111:$Q$137,5,FALSE)+E19*VLOOKUP(M19,$I$111:$Q$137,9,FALSE)+E21*VLOOKUP(M21,$I$111:$Q$137,9,FALSE)+E23*VLOOKUP(M23,$I$111:$Q$137,9,FALSE)</f>
        <v>0</v>
      </c>
      <c r="O7" s="98">
        <f>+F13*VLOOKUP(O13,$I$111:$Q$137,5,FALSE)+F15*VLOOKUP(O15,$I$111:$Q$137,5,FALSE)+F17*VLOOKUP(O17,$I$111:$Q$137,5,FALSE)+F19*VLOOKUP(O19,$I$111:$Q$137,9,FALSE)+F21*VLOOKUP(O21,$I$111:$Q$137,9,FALSE)+F23*VLOOKUP(O23,$I$111:$Q$137,9,FALSE)</f>
        <v>0</v>
      </c>
      <c r="Q7" s="98">
        <f>+G13*VLOOKUP(Q13,$I$111:$Q$137,5,FALSE)+G15*VLOOKUP(Q15,$I$111:$Q$137,5,FALSE)+G17*VLOOKUP(Q17,$I$111:$Q$137,5,FALSE)+G19*VLOOKUP(Q19,$I$111:$Q$137,9,FALSE)+G21*VLOOKUP(Q21,$I$111:$Q$137,9,FALSE)+G23*VLOOKUP(Q23,$I$111:$Q$137,9,FALSE)</f>
        <v>0</v>
      </c>
      <c r="S7" s="98">
        <f>+H13*VLOOKUP(S13,$I$111:$Q$137,5,FALSE)+H15*VLOOKUP(S15,$I$111:$Q$137,5,FALSE)+H17*VLOOKUP(S17,$I$111:$Q$137,5,FALSE)+H19*VLOOKUP(S19,$I$111:$Q$137,9,FALSE)+H21*VLOOKUP(S21,$I$111:$Q$137,9,FALSE)+H23*VLOOKUP(S23,$I$111:$Q$137,9,FALSE)</f>
        <v>0</v>
      </c>
    </row>
    <row r="8" spans="1:19" s="97" customFormat="1" ht="15.6" hidden="1">
      <c r="A8" s="97">
        <v>8</v>
      </c>
      <c r="C8" s="434" t="s">
        <v>181</v>
      </c>
      <c r="D8" s="434"/>
      <c r="E8" s="434"/>
      <c r="F8" s="434"/>
      <c r="G8" s="400"/>
      <c r="H8" s="400"/>
      <c r="I8" s="400" t="s">
        <v>183</v>
      </c>
      <c r="K8" s="98">
        <f>+C13*VLOOKUP(K13,$I$111:$Q$137,3,FALSE)+C15*VLOOKUP(K15,$I$111:$Q$137,3,FALSE)+C17*VLOOKUP(K17,$I$111:$Q$137,3,FALSE)+C19*VLOOKUP(K19,$I$111:$Q$137,7,FALSE)+C21*VLOOKUP(K21,$I$111:$Q$137,7,FALSE)+C23*VLOOKUP(K23,$I$111:$Q$137,7,FALSE)</f>
        <v>0</v>
      </c>
      <c r="M8" s="98">
        <f>+E13*VLOOKUP(M13,$I$111:$Q$137,3,FALSE)+E15*VLOOKUP(M15,$I$111:$Q$137,3,FALSE)+E17*VLOOKUP(M17,$I$111:$Q$137,3,FALSE)+E19*VLOOKUP(M19,$I$111:$Q$137,7,FALSE)+E21*VLOOKUP(M21,$I$111:$Q$137,7,FALSE)+E23*VLOOKUP(M23,$I$111:$Q$137,7,FALSE)</f>
        <v>0</v>
      </c>
      <c r="O8" s="98">
        <f>+F13*VLOOKUP(O13,$I$111:$Q$137,3,FALSE)+F15*VLOOKUP(O15,$I$111:$Q$137,3,FALSE)+F17*VLOOKUP(O17,$I$111:$Q$137,3,FALSE)+F19*VLOOKUP(O19,$I$111:$Q$137,7,FALSE)+F21*VLOOKUP(O21,$I$111:$Q$137,7,FALSE)+F23*VLOOKUP(O23,$I$111:$Q$137,7,FALSE)</f>
        <v>0</v>
      </c>
      <c r="Q8" s="98">
        <f>+G13*VLOOKUP(Q13,$I$111:$Q$137,3,FALSE)+G15*VLOOKUP(Q15,$I$111:$Q$137,3,FALSE)+G17*VLOOKUP(Q17,$I$111:$Q$137,3,FALSE)+G19*VLOOKUP(Q19,$I$111:$Q$137,7,FALSE)+G21*VLOOKUP(Q21,$I$111:$Q$137,7,FALSE)+G23*VLOOKUP(Q23,$I$111:$Q$137,7,FALSE)</f>
        <v>0</v>
      </c>
      <c r="S8" s="98">
        <f>+H13*VLOOKUP(S13,$I$111:$Q$137,3,FALSE)+H15*VLOOKUP(S15,$I$111:$Q$137,3,FALSE)+H17*VLOOKUP(S17,$I$111:$Q$137,3,FALSE)+H19*VLOOKUP(S19,$I$111:$Q$137,7,FALSE)+H21*VLOOKUP(S21,$I$111:$Q$137,7,FALSE)+H23*VLOOKUP(S23,$I$111:$Q$137,7,FALSE)</f>
        <v>0</v>
      </c>
    </row>
    <row r="9" spans="1:19" s="97" customFormat="1" ht="6" customHeight="1">
      <c r="C9" s="188"/>
      <c r="D9" s="188"/>
      <c r="E9" s="188"/>
      <c r="F9" s="188"/>
      <c r="G9" s="188"/>
      <c r="H9" s="188"/>
      <c r="I9" s="188"/>
      <c r="J9" s="189"/>
      <c r="K9" s="189"/>
      <c r="L9" s="189"/>
      <c r="M9" s="189"/>
      <c r="N9" s="189"/>
      <c r="O9" s="189"/>
      <c r="P9" s="189"/>
      <c r="Q9" s="189"/>
      <c r="R9" s="189"/>
      <c r="S9" s="189"/>
    </row>
    <row r="10" spans="1:19" s="184" customFormat="1" ht="6" customHeight="1">
      <c r="A10" s="190"/>
      <c r="C10" s="191"/>
      <c r="D10" s="191"/>
      <c r="E10" s="191"/>
      <c r="F10" s="192"/>
      <c r="G10" s="192"/>
      <c r="H10" s="191"/>
      <c r="I10" s="100"/>
      <c r="K10" s="100"/>
      <c r="L10" s="100"/>
      <c r="M10" s="100"/>
      <c r="N10" s="100"/>
      <c r="O10" s="100"/>
      <c r="P10" s="100"/>
      <c r="Q10" s="100"/>
      <c r="R10" s="100"/>
      <c r="S10" s="100"/>
    </row>
    <row r="11" spans="1:19" s="184" customFormat="1" ht="24.95" customHeight="1">
      <c r="A11" s="190"/>
      <c r="C11" s="435" t="s">
        <v>184</v>
      </c>
      <c r="D11" s="436"/>
      <c r="E11" s="436"/>
      <c r="F11" s="436"/>
      <c r="G11" s="436"/>
      <c r="H11" s="437"/>
      <c r="I11" s="100"/>
      <c r="K11" s="100"/>
      <c r="L11" s="100"/>
      <c r="M11" s="100"/>
      <c r="N11" s="100"/>
      <c r="O11" s="100"/>
      <c r="P11" s="100"/>
      <c r="Q11" s="100"/>
      <c r="R11" s="100"/>
      <c r="S11" s="100"/>
    </row>
    <row r="12" spans="1:19" s="184" customFormat="1" ht="12" customHeight="1">
      <c r="C12" s="193" t="s">
        <v>24</v>
      </c>
      <c r="D12" s="193"/>
      <c r="E12" s="193" t="s">
        <v>25</v>
      </c>
      <c r="F12" s="193" t="s">
        <v>26</v>
      </c>
      <c r="G12" s="193" t="s">
        <v>27</v>
      </c>
      <c r="H12" s="193" t="s">
        <v>28</v>
      </c>
      <c r="I12" s="193"/>
      <c r="J12" s="194"/>
      <c r="K12" s="194"/>
      <c r="L12" s="194"/>
      <c r="M12" s="194"/>
      <c r="N12" s="194"/>
      <c r="O12" s="194"/>
      <c r="P12" s="194"/>
      <c r="Q12" s="194"/>
      <c r="R12" s="194"/>
      <c r="S12" s="194"/>
    </row>
    <row r="13" spans="1:19" s="184" customFormat="1" ht="24.95" customHeight="1">
      <c r="A13" s="430" t="s">
        <v>185</v>
      </c>
      <c r="C13" s="432"/>
      <c r="D13" s="432"/>
      <c r="E13" s="401"/>
      <c r="F13" s="401"/>
      <c r="G13" s="195"/>
      <c r="H13" s="401"/>
      <c r="I13" s="100" t="s">
        <v>40</v>
      </c>
      <c r="K13" s="196" t="s">
        <v>186</v>
      </c>
      <c r="L13" s="100"/>
      <c r="M13" s="196" t="s">
        <v>187</v>
      </c>
      <c r="N13" s="100"/>
      <c r="O13" s="196" t="s">
        <v>188</v>
      </c>
      <c r="P13" s="100"/>
      <c r="Q13" s="196" t="s">
        <v>189</v>
      </c>
      <c r="R13" s="100"/>
      <c r="S13" s="196" t="s">
        <v>190</v>
      </c>
    </row>
    <row r="14" spans="1:19" s="184" customFormat="1" ht="6" customHeight="1">
      <c r="A14" s="431"/>
      <c r="C14" s="197"/>
      <c r="D14" s="197"/>
      <c r="E14" s="191"/>
      <c r="F14" s="191"/>
      <c r="G14" s="191"/>
      <c r="H14" s="191"/>
      <c r="I14" s="100"/>
      <c r="K14" s="100"/>
      <c r="L14" s="100"/>
      <c r="M14" s="100"/>
      <c r="N14" s="100"/>
      <c r="O14" s="100"/>
      <c r="P14" s="100"/>
      <c r="Q14" s="100"/>
      <c r="R14" s="100"/>
      <c r="S14" s="100"/>
    </row>
    <row r="15" spans="1:19" s="184" customFormat="1" ht="24.95" customHeight="1">
      <c r="A15" s="431"/>
      <c r="C15" s="432"/>
      <c r="D15" s="432"/>
      <c r="E15" s="401"/>
      <c r="F15" s="198"/>
      <c r="G15" s="195"/>
      <c r="H15" s="401"/>
      <c r="I15" s="100" t="s">
        <v>191</v>
      </c>
      <c r="K15" s="196" t="s">
        <v>192</v>
      </c>
      <c r="L15" s="100"/>
      <c r="M15" s="196" t="s">
        <v>193</v>
      </c>
      <c r="N15" s="100"/>
      <c r="O15" s="196" t="s">
        <v>194</v>
      </c>
      <c r="P15" s="100"/>
      <c r="Q15" s="196" t="s">
        <v>195</v>
      </c>
      <c r="R15" s="100"/>
      <c r="S15" s="196" t="s">
        <v>196</v>
      </c>
    </row>
    <row r="16" spans="1:19" s="184" customFormat="1" ht="6" customHeight="1">
      <c r="A16" s="431"/>
      <c r="C16" s="197"/>
      <c r="D16" s="197"/>
      <c r="E16" s="191"/>
      <c r="F16" s="191"/>
      <c r="G16" s="191"/>
      <c r="H16" s="191"/>
      <c r="I16" s="100"/>
      <c r="K16" s="100"/>
      <c r="L16" s="100"/>
      <c r="M16" s="100"/>
      <c r="N16" s="100"/>
      <c r="O16" s="100"/>
      <c r="P16" s="100"/>
      <c r="Q16" s="100"/>
      <c r="R16" s="100"/>
      <c r="S16" s="100"/>
    </row>
    <row r="17" spans="1:19" s="184" customFormat="1" ht="24.95" customHeight="1">
      <c r="A17" s="431"/>
      <c r="C17" s="432"/>
      <c r="D17" s="432"/>
      <c r="E17" s="401"/>
      <c r="F17" s="198"/>
      <c r="G17" s="195"/>
      <c r="H17" s="401"/>
      <c r="I17" s="100" t="s">
        <v>197</v>
      </c>
      <c r="K17" s="196" t="s">
        <v>198</v>
      </c>
      <c r="L17" s="100"/>
      <c r="M17" s="196" t="s">
        <v>199</v>
      </c>
      <c r="N17" s="100"/>
      <c r="O17" s="196" t="s">
        <v>200</v>
      </c>
      <c r="P17" s="100"/>
      <c r="Q17" s="196" t="s">
        <v>201</v>
      </c>
      <c r="R17" s="100"/>
      <c r="S17" s="196" t="s">
        <v>202</v>
      </c>
    </row>
    <row r="18" spans="1:19" s="184" customFormat="1" ht="12" customHeight="1">
      <c r="C18" s="193" t="s">
        <v>24</v>
      </c>
      <c r="D18" s="193"/>
      <c r="E18" s="193" t="s">
        <v>25</v>
      </c>
      <c r="F18" s="193" t="s">
        <v>26</v>
      </c>
      <c r="G18" s="193" t="s">
        <v>27</v>
      </c>
      <c r="H18" s="193" t="s">
        <v>28</v>
      </c>
      <c r="I18" s="193"/>
      <c r="J18" s="194"/>
      <c r="K18" s="199"/>
      <c r="L18" s="199"/>
      <c r="M18" s="199"/>
      <c r="N18" s="199"/>
      <c r="O18" s="199"/>
      <c r="P18" s="199"/>
      <c r="Q18" s="199"/>
      <c r="R18" s="199"/>
      <c r="S18" s="199"/>
    </row>
    <row r="19" spans="1:19" s="184" customFormat="1" ht="24.95" customHeight="1">
      <c r="A19" s="430" t="s">
        <v>203</v>
      </c>
      <c r="C19" s="432"/>
      <c r="D19" s="432"/>
      <c r="E19" s="401"/>
      <c r="F19" s="401"/>
      <c r="G19" s="195"/>
      <c r="H19" s="401"/>
      <c r="I19" s="100" t="s">
        <v>40</v>
      </c>
      <c r="K19" s="196" t="s">
        <v>186</v>
      </c>
      <c r="L19" s="100"/>
      <c r="M19" s="196" t="s">
        <v>187</v>
      </c>
      <c r="N19" s="100"/>
      <c r="O19" s="196" t="s">
        <v>188</v>
      </c>
      <c r="P19" s="100"/>
      <c r="Q19" s="196" t="s">
        <v>189</v>
      </c>
      <c r="R19" s="100"/>
      <c r="S19" s="196" t="s">
        <v>190</v>
      </c>
    </row>
    <row r="20" spans="1:19" s="184" customFormat="1" ht="6" customHeight="1">
      <c r="A20" s="431"/>
      <c r="C20" s="197"/>
      <c r="D20" s="197"/>
      <c r="E20" s="191"/>
      <c r="F20" s="191"/>
      <c r="G20" s="191"/>
      <c r="H20" s="191"/>
      <c r="I20" s="100"/>
      <c r="K20" s="100"/>
      <c r="L20" s="100"/>
      <c r="M20" s="100"/>
      <c r="N20" s="100"/>
      <c r="O20" s="100"/>
      <c r="P20" s="100"/>
      <c r="Q20" s="100"/>
      <c r="R20" s="100"/>
      <c r="S20" s="100"/>
    </row>
    <row r="21" spans="1:19" s="184" customFormat="1" ht="24.95" customHeight="1">
      <c r="A21" s="431"/>
      <c r="C21" s="432"/>
      <c r="D21" s="432"/>
      <c r="E21" s="401"/>
      <c r="F21" s="198"/>
      <c r="G21" s="195"/>
      <c r="H21" s="401"/>
      <c r="I21" s="100" t="s">
        <v>191</v>
      </c>
      <c r="K21" s="196" t="s">
        <v>192</v>
      </c>
      <c r="L21" s="100"/>
      <c r="M21" s="196" t="s">
        <v>193</v>
      </c>
      <c r="N21" s="100"/>
      <c r="O21" s="196" t="s">
        <v>194</v>
      </c>
      <c r="P21" s="100"/>
      <c r="Q21" s="196" t="s">
        <v>195</v>
      </c>
      <c r="R21" s="100"/>
      <c r="S21" s="196" t="s">
        <v>196</v>
      </c>
    </row>
    <row r="22" spans="1:19" s="184" customFormat="1" ht="6" customHeight="1">
      <c r="A22" s="431"/>
      <c r="C22" s="197"/>
      <c r="D22" s="197"/>
      <c r="E22" s="191"/>
      <c r="F22" s="191"/>
      <c r="G22" s="191"/>
      <c r="H22" s="191"/>
      <c r="I22" s="100"/>
      <c r="K22" s="100"/>
      <c r="L22" s="100"/>
      <c r="M22" s="100"/>
      <c r="N22" s="100"/>
      <c r="O22" s="100"/>
      <c r="P22" s="100"/>
      <c r="Q22" s="100"/>
      <c r="R22" s="100"/>
      <c r="S22" s="100"/>
    </row>
    <row r="23" spans="1:19" s="184" customFormat="1" ht="24.95" customHeight="1">
      <c r="A23" s="431"/>
      <c r="C23" s="443"/>
      <c r="D23" s="443"/>
      <c r="E23" s="402"/>
      <c r="F23" s="200"/>
      <c r="G23" s="201"/>
      <c r="H23" s="402"/>
      <c r="I23" s="100" t="s">
        <v>197</v>
      </c>
      <c r="K23" s="196" t="s">
        <v>198</v>
      </c>
      <c r="L23" s="100"/>
      <c r="M23" s="196" t="s">
        <v>199</v>
      </c>
      <c r="N23" s="100"/>
      <c r="O23" s="196" t="s">
        <v>200</v>
      </c>
      <c r="P23" s="100"/>
      <c r="Q23" s="196" t="s">
        <v>201</v>
      </c>
      <c r="R23" s="100"/>
      <c r="S23" s="196" t="s">
        <v>202</v>
      </c>
    </row>
    <row r="24" spans="1:19" s="97" customFormat="1" ht="6" customHeight="1">
      <c r="C24" s="188"/>
      <c r="D24" s="188"/>
      <c r="E24" s="188"/>
      <c r="F24" s="188"/>
      <c r="G24" s="188"/>
      <c r="H24" s="188"/>
      <c r="I24" s="188"/>
      <c r="J24" s="189"/>
      <c r="K24" s="189"/>
      <c r="L24" s="189"/>
      <c r="M24" s="189"/>
      <c r="N24" s="189"/>
      <c r="O24" s="189"/>
      <c r="P24" s="189"/>
      <c r="Q24" s="189"/>
      <c r="R24" s="189"/>
      <c r="S24" s="189"/>
    </row>
    <row r="25" spans="1:19" s="98" customFormat="1" ht="6" customHeight="1"/>
    <row r="26" spans="1:19" s="97" customFormat="1" ht="45.6" customHeight="1">
      <c r="A26" s="186"/>
      <c r="C26" s="433" t="s">
        <v>204</v>
      </c>
      <c r="D26" s="433"/>
      <c r="E26" s="433"/>
      <c r="F26" s="433"/>
      <c r="G26" s="440" t="s">
        <v>179</v>
      </c>
      <c r="H26" s="440"/>
      <c r="I26" s="187" t="s">
        <v>180</v>
      </c>
      <c r="K26" s="98">
        <f>ROUND(IF($I$26="1/2-time",K27,K28),0)</f>
        <v>0</v>
      </c>
      <c r="M26" s="98">
        <f>ROUND(IF($I$26="1/2-time",M27,M28),0)</f>
        <v>0</v>
      </c>
      <c r="O26" s="98">
        <f>ROUND(IF($I$26="1/2-time",O27,O28),0)</f>
        <v>0</v>
      </c>
      <c r="Q26" s="98">
        <f>ROUND(IF($I$26="1/2-time",Q27,Q28),0)</f>
        <v>0</v>
      </c>
      <c r="S26" s="98">
        <f>ROUND(IF($I$26="1/2-time",S27,S28),0)</f>
        <v>0</v>
      </c>
    </row>
    <row r="27" spans="1:19" s="97" customFormat="1" ht="15.6" hidden="1">
      <c r="A27" s="97">
        <v>8</v>
      </c>
      <c r="C27" s="434" t="s">
        <v>181</v>
      </c>
      <c r="D27" s="434"/>
      <c r="E27" s="434"/>
      <c r="F27" s="434"/>
      <c r="G27" s="400"/>
      <c r="H27" s="400"/>
      <c r="I27" s="400" t="s">
        <v>182</v>
      </c>
      <c r="K27" s="98">
        <f>+C33*VLOOKUP(K33,$I$141:$Q$167,5,FALSE)+C35*VLOOKUP(K35,$I$141:$Q$167,5,FALSE)+C37*VLOOKUP(K37,$I$141:$Q$167,5,FALSE)+C39*VLOOKUP(K39,$I$141:$Q$167,9,FALSE)+C41*VLOOKUP(K41,$I$141:$Q$167,9,FALSE)+C43*VLOOKUP(K43,$I$141:$Q$167,9,FALSE)</f>
        <v>0</v>
      </c>
      <c r="L27" s="98"/>
      <c r="M27" s="98">
        <f>+E33*VLOOKUP(M33,$I$141:$Q$167,5,FALSE)+E35*VLOOKUP(M35,$I$141:$Q$167,5,FALSE)+E37*VLOOKUP(M37,$I$141:$Q$167,5,FALSE)+E39*VLOOKUP(M39,$I$141:$Q$167,9,FALSE)+E41*VLOOKUP(M41,$I$141:$Q$167,9,FALSE)+E43*VLOOKUP(M43,$I$141:$Q$167,9,FALSE)</f>
        <v>0</v>
      </c>
      <c r="N27" s="98"/>
      <c r="O27" s="98">
        <f>+F33*VLOOKUP(O33,$I$141:$Q$167,5,FALSE)+F35*VLOOKUP(O35,$I$141:$Q$167,5,FALSE)+F37*VLOOKUP(O37,$I$141:$Q$167,5,FALSE)+F39*VLOOKUP(O39,$I$141:$Q$167,9,FALSE)+F41*VLOOKUP(O41,$I$141:$Q$167,9,FALSE)+F43*VLOOKUP(O43,$I$141:$Q$167,9,FALSE)</f>
        <v>0</v>
      </c>
      <c r="P27" s="98"/>
      <c r="Q27" s="98">
        <f>+G33*VLOOKUP(Q33,$I$141:$Q$167,5,FALSE)+G35*VLOOKUP(Q35,$I$141:$Q$167,5,FALSE)+G37*VLOOKUP(Q37,$I$141:$Q$167,5,FALSE)+G39*VLOOKUP(Q39,$I$141:$Q$167,9,FALSE)+G41*VLOOKUP(Q41,$I$141:$Q$167,9,FALSE)+G43*VLOOKUP(Q43,$I$141:$Q$167,9,FALSE)</f>
        <v>0</v>
      </c>
      <c r="R27" s="98"/>
      <c r="S27" s="98">
        <f>+H33*VLOOKUP(S33,$I$141:$Q$167,5,FALSE)+H35*VLOOKUP(S35,$I$141:$Q$167,5,FALSE)+H37*VLOOKUP(S37,$I$141:$Q$167,5,FALSE)+H39*VLOOKUP(S39,$I$141:$Q$167,9,FALSE)+H41*VLOOKUP(S41,$I$141:$Q$167,9,FALSE)+H43*VLOOKUP(S43,$I$141:$Q$167,9,FALSE)</f>
        <v>0</v>
      </c>
    </row>
    <row r="28" spans="1:19" s="97" customFormat="1" ht="18" hidden="1" customHeight="1">
      <c r="A28" s="97">
        <v>8</v>
      </c>
      <c r="C28" s="434" t="s">
        <v>181</v>
      </c>
      <c r="D28" s="434"/>
      <c r="E28" s="434"/>
      <c r="F28" s="434"/>
      <c r="G28" s="400"/>
      <c r="H28" s="400"/>
      <c r="I28" s="400" t="s">
        <v>183</v>
      </c>
      <c r="K28" s="98">
        <f>+C33*VLOOKUP(K33,$I$141:$Q$167,3,FALSE)+C35*VLOOKUP(K35,$I$141:$Q$167,3,FALSE)+C37*VLOOKUP(K37,$I$141:$Q$167,3,FALSE)+C39*VLOOKUP(K39,$I$141:$Q$167,7,FALSE)+C41*VLOOKUP(K41,$I$141:$Q$167,7,FALSE)+C43*VLOOKUP(K43,$I$141:$Q$167,7,FALSE)</f>
        <v>0</v>
      </c>
      <c r="M28" s="98">
        <f>+E33*VLOOKUP(M33,$I$141:$Q$167,3,FALSE)+E35*VLOOKUP(M35,$I$141:$Q$167,3,FALSE)+E37*VLOOKUP(M37,$I$141:$Q$167,3,FALSE)+E39*VLOOKUP(M39,$I$141:$Q$167,7,FALSE)+E41*VLOOKUP(M41,$I$141:$Q$167,7,FALSE)+E43*VLOOKUP(M43,$I$141:$Q$167,7,FALSE)</f>
        <v>0</v>
      </c>
      <c r="O28" s="98">
        <f>+F33*VLOOKUP(O33,$I$141:$Q$167,3,FALSE)+F35*VLOOKUP(O35,$I$141:$Q$167,3,FALSE)+F37*VLOOKUP(O37,$I$141:$Q$167,3,FALSE)+F39*VLOOKUP(O39,$I$141:$Q$167,7,FALSE)+F41*VLOOKUP(O41,$I$141:$Q$167,7,FALSE)+F43*VLOOKUP(O43,$I$141:$Q$167,7,FALSE)</f>
        <v>0</v>
      </c>
      <c r="Q28" s="98">
        <f>+G33*VLOOKUP(Q33,$I$141:$Q$167,3,FALSE)+G35*VLOOKUP(Q35,$I$141:$Q$167,3,FALSE)+G37*VLOOKUP(Q37,$I$141:$Q$167,3,FALSE)+G39*VLOOKUP(Q39,$I$141:$Q$167,7,FALSE)+G41*VLOOKUP(Q41,$I$141:$Q$167,7,FALSE)+G43*VLOOKUP(Q43,$I$141:$Q$167,7,FALSE)</f>
        <v>0</v>
      </c>
      <c r="S28" s="98">
        <f>+H33*VLOOKUP(S33,$I$141:$Q$167,3,FALSE)+H35*VLOOKUP(S35,$I$141:$Q$167,3,FALSE)+H37*VLOOKUP(S37,$I$141:$Q$167,3,FALSE)+H39*VLOOKUP(S39,$I$141:$Q$167,7,FALSE)+H41*VLOOKUP(S41,$I$141:$Q$167,7,FALSE)+H43*VLOOKUP(S43,$I$141:$Q$167,7,FALSE)</f>
        <v>0</v>
      </c>
    </row>
    <row r="29" spans="1:19" s="97" customFormat="1" ht="6" customHeight="1">
      <c r="C29" s="188"/>
      <c r="D29" s="188"/>
      <c r="E29" s="188"/>
      <c r="F29" s="188"/>
      <c r="G29" s="188"/>
      <c r="H29" s="188"/>
      <c r="I29" s="188"/>
      <c r="J29" s="189"/>
      <c r="K29" s="189"/>
      <c r="L29" s="189"/>
      <c r="M29" s="189"/>
      <c r="N29" s="189"/>
      <c r="O29" s="189"/>
      <c r="P29" s="189"/>
      <c r="Q29" s="189"/>
      <c r="R29" s="189"/>
      <c r="S29" s="189"/>
    </row>
    <row r="30" spans="1:19" s="184" customFormat="1" ht="6" customHeight="1">
      <c r="A30" s="190"/>
      <c r="C30" s="191"/>
      <c r="D30" s="191"/>
      <c r="E30" s="191"/>
      <c r="F30" s="192"/>
      <c r="G30" s="192"/>
      <c r="H30" s="191"/>
      <c r="I30" s="100"/>
      <c r="K30" s="100"/>
      <c r="L30" s="100"/>
      <c r="M30" s="100"/>
      <c r="N30" s="100"/>
      <c r="O30" s="100"/>
      <c r="P30" s="100"/>
      <c r="Q30" s="100"/>
      <c r="R30" s="100"/>
      <c r="S30" s="100"/>
    </row>
    <row r="31" spans="1:19" s="184" customFormat="1" ht="24.95" customHeight="1">
      <c r="A31" s="97"/>
      <c r="C31" s="435" t="s">
        <v>205</v>
      </c>
      <c r="D31" s="436"/>
      <c r="E31" s="436"/>
      <c r="F31" s="436"/>
      <c r="G31" s="436"/>
      <c r="H31" s="437"/>
      <c r="I31" s="100"/>
      <c r="K31" s="98"/>
      <c r="L31" s="100"/>
      <c r="M31" s="98"/>
      <c r="N31" s="98"/>
      <c r="O31" s="98"/>
      <c r="P31" s="98"/>
      <c r="Q31" s="98"/>
      <c r="R31" s="98"/>
      <c r="S31" s="98"/>
    </row>
    <row r="32" spans="1:19" s="184" customFormat="1" ht="12" customHeight="1">
      <c r="C32" s="193" t="s">
        <v>24</v>
      </c>
      <c r="D32" s="193"/>
      <c r="E32" s="193" t="s">
        <v>25</v>
      </c>
      <c r="F32" s="193" t="s">
        <v>26</v>
      </c>
      <c r="G32" s="193" t="s">
        <v>27</v>
      </c>
      <c r="H32" s="193" t="s">
        <v>28</v>
      </c>
      <c r="I32" s="193"/>
      <c r="J32" s="194"/>
      <c r="K32" s="194"/>
      <c r="L32" s="194"/>
      <c r="M32" s="194"/>
      <c r="N32" s="194"/>
      <c r="O32" s="194"/>
      <c r="P32" s="194"/>
      <c r="Q32" s="194"/>
      <c r="R32" s="194"/>
      <c r="S32" s="194"/>
    </row>
    <row r="33" spans="1:19" s="184" customFormat="1" ht="24.95" customHeight="1">
      <c r="A33" s="430" t="s">
        <v>185</v>
      </c>
      <c r="C33" s="438"/>
      <c r="D33" s="439"/>
      <c r="E33" s="401"/>
      <c r="F33" s="401"/>
      <c r="G33" s="195"/>
      <c r="H33" s="401"/>
      <c r="I33" s="100" t="s">
        <v>40</v>
      </c>
      <c r="K33" s="196" t="s">
        <v>186</v>
      </c>
      <c r="L33" s="100"/>
      <c r="M33" s="196" t="s">
        <v>187</v>
      </c>
      <c r="N33" s="100"/>
      <c r="O33" s="196" t="s">
        <v>188</v>
      </c>
      <c r="P33" s="100"/>
      <c r="Q33" s="196" t="s">
        <v>189</v>
      </c>
      <c r="R33" s="100"/>
      <c r="S33" s="196" t="s">
        <v>190</v>
      </c>
    </row>
    <row r="34" spans="1:19" s="184" customFormat="1" ht="6" customHeight="1">
      <c r="A34" s="431"/>
      <c r="C34" s="197"/>
      <c r="D34" s="197"/>
      <c r="E34" s="191"/>
      <c r="F34" s="191"/>
      <c r="G34" s="191"/>
      <c r="H34" s="191"/>
      <c r="I34" s="100"/>
      <c r="K34" s="100"/>
      <c r="L34" s="100"/>
      <c r="M34" s="100"/>
      <c r="N34" s="100"/>
      <c r="O34" s="100"/>
      <c r="P34" s="100"/>
      <c r="Q34" s="100"/>
      <c r="R34" s="100"/>
      <c r="S34" s="100"/>
    </row>
    <row r="35" spans="1:19" s="184" customFormat="1" ht="24.95" customHeight="1">
      <c r="A35" s="431"/>
      <c r="C35" s="432"/>
      <c r="D35" s="432"/>
      <c r="E35" s="401"/>
      <c r="F35" s="198"/>
      <c r="G35" s="195"/>
      <c r="H35" s="401"/>
      <c r="I35" s="100" t="s">
        <v>191</v>
      </c>
      <c r="K35" s="196" t="s">
        <v>192</v>
      </c>
      <c r="L35" s="100"/>
      <c r="M35" s="196" t="s">
        <v>193</v>
      </c>
      <c r="N35" s="100"/>
      <c r="O35" s="196" t="s">
        <v>194</v>
      </c>
      <c r="P35" s="100"/>
      <c r="Q35" s="196" t="s">
        <v>195</v>
      </c>
      <c r="R35" s="100"/>
      <c r="S35" s="196" t="s">
        <v>196</v>
      </c>
    </row>
    <row r="36" spans="1:19" s="184" customFormat="1" ht="6" customHeight="1">
      <c r="A36" s="431"/>
      <c r="C36" s="197"/>
      <c r="D36" s="197"/>
      <c r="E36" s="191"/>
      <c r="F36" s="191"/>
      <c r="G36" s="191"/>
      <c r="H36" s="191"/>
      <c r="I36" s="100"/>
      <c r="K36" s="100"/>
      <c r="L36" s="100"/>
      <c r="M36" s="100"/>
      <c r="N36" s="100"/>
      <c r="O36" s="100"/>
      <c r="P36" s="100"/>
      <c r="Q36" s="100"/>
      <c r="R36" s="100"/>
      <c r="S36" s="100"/>
    </row>
    <row r="37" spans="1:19" s="184" customFormat="1" ht="24.95" customHeight="1">
      <c r="A37" s="431"/>
      <c r="C37" s="432"/>
      <c r="D37" s="432"/>
      <c r="E37" s="401"/>
      <c r="F37" s="198"/>
      <c r="G37" s="195"/>
      <c r="H37" s="401"/>
      <c r="I37" s="100" t="s">
        <v>197</v>
      </c>
      <c r="K37" s="196" t="s">
        <v>198</v>
      </c>
      <c r="L37" s="100"/>
      <c r="M37" s="196" t="s">
        <v>199</v>
      </c>
      <c r="N37" s="100"/>
      <c r="O37" s="196" t="s">
        <v>200</v>
      </c>
      <c r="P37" s="100"/>
      <c r="Q37" s="196" t="s">
        <v>201</v>
      </c>
      <c r="R37" s="100"/>
      <c r="S37" s="196" t="s">
        <v>202</v>
      </c>
    </row>
    <row r="38" spans="1:19" s="184" customFormat="1" ht="12" customHeight="1">
      <c r="C38" s="202" t="s">
        <v>24</v>
      </c>
      <c r="D38" s="202"/>
      <c r="E38" s="202" t="s">
        <v>25</v>
      </c>
      <c r="F38" s="202" t="s">
        <v>26</v>
      </c>
      <c r="G38" s="202" t="s">
        <v>27</v>
      </c>
      <c r="H38" s="202" t="s">
        <v>28</v>
      </c>
      <c r="I38" s="193"/>
      <c r="J38" s="194"/>
      <c r="K38" s="199"/>
      <c r="L38" s="199"/>
      <c r="M38" s="199"/>
      <c r="N38" s="199"/>
      <c r="O38" s="199"/>
      <c r="P38" s="199"/>
      <c r="Q38" s="199"/>
      <c r="R38" s="199"/>
      <c r="S38" s="199"/>
    </row>
    <row r="39" spans="1:19" s="184" customFormat="1" ht="24.95" customHeight="1">
      <c r="A39" s="430" t="s">
        <v>203</v>
      </c>
      <c r="C39" s="432"/>
      <c r="D39" s="432"/>
      <c r="E39" s="401"/>
      <c r="F39" s="401"/>
      <c r="G39" s="195"/>
      <c r="H39" s="401"/>
      <c r="I39" s="100" t="s">
        <v>40</v>
      </c>
      <c r="K39" s="196" t="s">
        <v>186</v>
      </c>
      <c r="L39" s="100"/>
      <c r="M39" s="196" t="s">
        <v>187</v>
      </c>
      <c r="N39" s="100"/>
      <c r="O39" s="196" t="s">
        <v>188</v>
      </c>
      <c r="P39" s="100"/>
      <c r="Q39" s="196" t="s">
        <v>189</v>
      </c>
      <c r="R39" s="100"/>
      <c r="S39" s="196" t="s">
        <v>190</v>
      </c>
    </row>
    <row r="40" spans="1:19" s="184" customFormat="1" ht="6" customHeight="1">
      <c r="A40" s="431"/>
      <c r="C40" s="197"/>
      <c r="D40" s="197"/>
      <c r="E40" s="191"/>
      <c r="F40" s="191"/>
      <c r="G40" s="191"/>
      <c r="H40" s="191"/>
      <c r="I40" s="100"/>
      <c r="K40" s="100"/>
      <c r="L40" s="100"/>
      <c r="M40" s="100"/>
      <c r="N40" s="100"/>
      <c r="O40" s="100"/>
      <c r="P40" s="100"/>
      <c r="Q40" s="100"/>
      <c r="R40" s="100"/>
      <c r="S40" s="100"/>
    </row>
    <row r="41" spans="1:19" s="184" customFormat="1" ht="24.95" customHeight="1">
      <c r="A41" s="431"/>
      <c r="C41" s="432"/>
      <c r="D41" s="432"/>
      <c r="E41" s="401"/>
      <c r="F41" s="198"/>
      <c r="G41" s="195"/>
      <c r="H41" s="401"/>
      <c r="I41" s="100" t="s">
        <v>191</v>
      </c>
      <c r="K41" s="196" t="s">
        <v>192</v>
      </c>
      <c r="L41" s="100"/>
      <c r="M41" s="196" t="s">
        <v>193</v>
      </c>
      <c r="N41" s="100"/>
      <c r="O41" s="196" t="s">
        <v>194</v>
      </c>
      <c r="P41" s="100"/>
      <c r="Q41" s="196" t="s">
        <v>195</v>
      </c>
      <c r="R41" s="100"/>
      <c r="S41" s="196" t="s">
        <v>196</v>
      </c>
    </row>
    <row r="42" spans="1:19" s="184" customFormat="1" ht="6" customHeight="1">
      <c r="A42" s="431"/>
      <c r="C42" s="197"/>
      <c r="D42" s="197"/>
      <c r="E42" s="191"/>
      <c r="F42" s="191"/>
      <c r="G42" s="191"/>
      <c r="H42" s="191"/>
      <c r="I42" s="100"/>
      <c r="K42" s="100"/>
      <c r="L42" s="100"/>
      <c r="M42" s="100"/>
      <c r="N42" s="100"/>
      <c r="O42" s="100"/>
      <c r="P42" s="100"/>
      <c r="Q42" s="100"/>
      <c r="R42" s="100"/>
      <c r="S42" s="100"/>
    </row>
    <row r="43" spans="1:19" s="184" customFormat="1" ht="24.95" customHeight="1">
      <c r="A43" s="431"/>
      <c r="C43" s="432"/>
      <c r="D43" s="432"/>
      <c r="E43" s="401"/>
      <c r="F43" s="198"/>
      <c r="G43" s="195"/>
      <c r="H43" s="401"/>
      <c r="I43" s="100" t="s">
        <v>197</v>
      </c>
      <c r="K43" s="196" t="s">
        <v>198</v>
      </c>
      <c r="L43" s="100"/>
      <c r="M43" s="196" t="s">
        <v>199</v>
      </c>
      <c r="N43" s="100"/>
      <c r="O43" s="196" t="s">
        <v>200</v>
      </c>
      <c r="P43" s="100"/>
      <c r="Q43" s="196" t="s">
        <v>201</v>
      </c>
      <c r="R43" s="100"/>
      <c r="S43" s="196" t="s">
        <v>202</v>
      </c>
    </row>
    <row r="44" spans="1:19" s="97" customFormat="1" ht="6" customHeight="1">
      <c r="C44" s="188"/>
      <c r="D44" s="188"/>
      <c r="E44" s="188"/>
      <c r="F44" s="188"/>
      <c r="G44" s="188"/>
      <c r="H44" s="188"/>
      <c r="I44" s="188"/>
      <c r="J44" s="189"/>
      <c r="K44" s="189"/>
      <c r="L44" s="189"/>
      <c r="M44" s="189"/>
      <c r="N44" s="189"/>
      <c r="O44" s="189"/>
      <c r="P44" s="189"/>
      <c r="Q44" s="189"/>
      <c r="R44" s="189"/>
      <c r="S44" s="189"/>
    </row>
    <row r="45" spans="1:19" s="98" customFormat="1" ht="6" customHeight="1"/>
    <row r="46" spans="1:19" s="97" customFormat="1" ht="44.25" customHeight="1">
      <c r="A46" s="186"/>
      <c r="C46" s="433" t="s">
        <v>206</v>
      </c>
      <c r="D46" s="433"/>
      <c r="E46" s="433"/>
      <c r="F46" s="433"/>
      <c r="G46" s="441" t="s">
        <v>179</v>
      </c>
      <c r="H46" s="440"/>
      <c r="I46" s="187" t="s">
        <v>180</v>
      </c>
      <c r="K46" s="98">
        <f>ROUND(IF($I$46="1/2-time",K47,K48),0)</f>
        <v>28758</v>
      </c>
      <c r="M46" s="98">
        <f>ROUND(IF($I$46="1/2-time",M47,M48),0)</f>
        <v>29966</v>
      </c>
      <c r="O46" s="98">
        <f>ROUND(IF($I$46="1/2-time",O47,O48),0)</f>
        <v>31225</v>
      </c>
      <c r="Q46" s="98">
        <f>ROUND(IF($I$46="1/2-time",Q47,Q48),0)</f>
        <v>0</v>
      </c>
      <c r="S46" s="98">
        <f>ROUND(IF($I$46="1/2-time",S47,S48),0)</f>
        <v>0</v>
      </c>
    </row>
    <row r="47" spans="1:19" s="97" customFormat="1" ht="3" customHeight="1">
      <c r="A47" s="97">
        <v>8</v>
      </c>
      <c r="C47" s="434" t="s">
        <v>181</v>
      </c>
      <c r="D47" s="434"/>
      <c r="E47" s="434"/>
      <c r="F47" s="434"/>
      <c r="G47" s="400"/>
      <c r="H47" s="400"/>
      <c r="I47" s="400" t="s">
        <v>182</v>
      </c>
      <c r="K47" s="98">
        <f>+C53*VLOOKUP(K53,$I$171:$Q$197,5,FALSE)+C55*VLOOKUP(K55,$I$171:$Q$197,5,FALSE)+C57*VLOOKUP(K57,$I$171:$Q$197,5,FALSE)+C59*VLOOKUP(K59,$I$171:$Q$197,9,FALSE)+C61*VLOOKUP(K61,$I$171:$Q$197,9,FALSE)+C63*VLOOKUP(K63,$I$171:$Q$197,9,FALSE)</f>
        <v>28758.157999999999</v>
      </c>
      <c r="L47" s="98"/>
      <c r="M47" s="98">
        <f>+E53*VLOOKUP(M53,$I$171:$Q$197,5,FALSE)+E55*VLOOKUP(M55,$I$171:$Q$197,5,FALSE)+E57*VLOOKUP(M57,$I$171:$Q$197,5,FALSE)+E59*VLOOKUP(M59,$I$171:$Q$197,9,FALSE)+E61*VLOOKUP(M61,$I$171:$Q$197,9,FALSE)+E63*VLOOKUP(M63,$I$171:$Q$197,9,FALSE)</f>
        <v>29966.000635999997</v>
      </c>
      <c r="N47" s="98"/>
      <c r="O47" s="98">
        <f>+F53*VLOOKUP(O53,$I$171:$Q$197,5,FALSE)+F55*VLOOKUP(O55,$I$171:$Q$197,5,FALSE)+F57*VLOOKUP(O57,$I$171:$Q$197,5,FALSE)+F59*VLOOKUP(O59,$I$171:$Q$197,9,FALSE)+F61*VLOOKUP(O61,$I$171:$Q$197,9,FALSE)+F63*VLOOKUP(O63,$I$171:$Q$197,9,FALSE)</f>
        <v>31224.572662712002</v>
      </c>
      <c r="P47" s="98"/>
      <c r="Q47" s="98">
        <f>+G53*VLOOKUP(Q53,$I$171:$Q$197,5,FALSE)+G55*VLOOKUP(Q55,$I$171:$Q$197,5,FALSE)+G57*VLOOKUP(Q57,$I$171:$Q$197,5,FALSE)+G59*VLOOKUP(Q59,$I$171:$Q$197,9,FALSE)+G61*VLOOKUP(Q61,$I$171:$Q$197,9,FALSE)+G63*VLOOKUP(Q63,$I$171:$Q$197,9,FALSE)</f>
        <v>0</v>
      </c>
      <c r="R47" s="98"/>
      <c r="S47" s="98">
        <f>+H53*VLOOKUP(S53,$I$171:$Q$197,5,FALSE)+H55*VLOOKUP(S55,$I$171:$Q$197,5,FALSE)+H57*VLOOKUP(S57,$I$171:$Q$197,5,FALSE)+H59*VLOOKUP(S59,$I$171:$Q$197,9,FALSE)+H61*VLOOKUP(S61,$I$171:$Q$197,9,FALSE)+H63*VLOOKUP(S63,$I$171:$Q$197,9,FALSE)</f>
        <v>0</v>
      </c>
    </row>
    <row r="48" spans="1:19" s="97" customFormat="1" ht="2.25" customHeight="1">
      <c r="A48" s="97">
        <v>8</v>
      </c>
      <c r="C48" s="434" t="s">
        <v>181</v>
      </c>
      <c r="D48" s="434"/>
      <c r="E48" s="434"/>
      <c r="F48" s="434"/>
      <c r="G48" s="400"/>
      <c r="H48" s="400"/>
      <c r="I48" s="400" t="s">
        <v>183</v>
      </c>
      <c r="K48" s="98">
        <f>+C53*VLOOKUP(K53,$I$171:$Q$197,3,FALSE)+C55*VLOOKUP(K55,$I$171:$Q$197,3,FALSE)+C57*VLOOKUP(K57,$I$171:$Q$197,3,FALSE)+C59*VLOOKUP(K59,$I$171:$Q$197,7,FALSE)+C61*VLOOKUP(K61,$I$171:$Q$197,7,FALSE)+C63*VLOOKUP(K63,$I$171:$Q$197,7,FALSE)</f>
        <v>14718.25</v>
      </c>
      <c r="M48" s="98">
        <f>+E53*VLOOKUP(M53,$I$171:$Q$197,3,FALSE)+E55*VLOOKUP(M55,$I$171:$Q$197,3,FALSE)+E57*VLOOKUP(M57,$I$171:$Q$197,3,FALSE)+E59*VLOOKUP(M59,$I$171:$Q$197,7,FALSE)+E61*VLOOKUP(M61,$I$171:$Q$197,7,FALSE)+E63*VLOOKUP(M63,$I$171:$Q$197,7,FALSE)</f>
        <v>15336.416500000003</v>
      </c>
      <c r="O48" s="98">
        <f>+F53*VLOOKUP(O53,$I$171:$Q$197,3,FALSE)+F55*VLOOKUP(O55,$I$171:$Q$197,3,FALSE)+F57*VLOOKUP(O57,$I$171:$Q$197,3,FALSE)+F59*VLOOKUP(O59,$I$171:$Q$197,7,FALSE)+F61*VLOOKUP(O61,$I$171:$Q$197,7,FALSE)+F63*VLOOKUP(O63,$I$171:$Q$197,7,FALSE)</f>
        <v>15980.545993000002</v>
      </c>
      <c r="Q48" s="98">
        <f>+G53*VLOOKUP(Q53,$I$171:$Q$197,3,FALSE)+G55*VLOOKUP(Q55,$I$171:$Q$197,3,FALSE)+G57*VLOOKUP(Q57,$I$171:$Q$197,3,FALSE)+G59*VLOOKUP(Q59,$I$171:$Q$197,7,FALSE)+G61*VLOOKUP(Q61,$I$171:$Q$197,7,FALSE)+G63*VLOOKUP(Q63,$I$171:$Q$197,7,FALSE)</f>
        <v>0</v>
      </c>
      <c r="S48" s="98">
        <f>+H53*VLOOKUP(S53,$I$171:$Q$197,3,FALSE)+H55*VLOOKUP(S55,$I$171:$Q$197,3,FALSE)+H57*VLOOKUP(S57,$I$171:$Q$197,3,FALSE)+H59*VLOOKUP(S59,$I$171:$Q$197,7,FALSE)+H61*VLOOKUP(S61,$I$171:$Q$197,7,FALSE)+H63*VLOOKUP(S63,$I$171:$Q$197,7,FALSE)</f>
        <v>0</v>
      </c>
    </row>
    <row r="49" spans="1:19" s="97" customFormat="1" ht="6" customHeight="1">
      <c r="C49" s="188"/>
      <c r="D49" s="188"/>
      <c r="E49" s="188"/>
      <c r="F49" s="188"/>
      <c r="G49" s="188"/>
      <c r="H49" s="188"/>
      <c r="I49" s="188"/>
      <c r="J49" s="189"/>
      <c r="K49" s="189"/>
      <c r="L49" s="189"/>
      <c r="M49" s="189"/>
      <c r="N49" s="189"/>
      <c r="O49" s="189"/>
      <c r="P49" s="189"/>
      <c r="Q49" s="189"/>
      <c r="R49" s="189"/>
      <c r="S49" s="189"/>
    </row>
    <row r="50" spans="1:19" s="184" customFormat="1" ht="6" customHeight="1">
      <c r="A50" s="190"/>
      <c r="C50" s="191"/>
      <c r="D50" s="191"/>
      <c r="E50" s="191"/>
      <c r="F50" s="192"/>
      <c r="G50" s="192"/>
      <c r="H50" s="191"/>
      <c r="I50" s="100"/>
      <c r="K50" s="100"/>
      <c r="L50" s="100"/>
      <c r="M50" s="100"/>
      <c r="N50" s="100"/>
      <c r="O50" s="100"/>
      <c r="P50" s="100"/>
      <c r="Q50" s="100"/>
      <c r="R50" s="100"/>
      <c r="S50" s="100"/>
    </row>
    <row r="51" spans="1:19" s="184" customFormat="1" ht="24.95" customHeight="1">
      <c r="A51" s="97"/>
      <c r="C51" s="435" t="s">
        <v>207</v>
      </c>
      <c r="D51" s="436"/>
      <c r="E51" s="436"/>
      <c r="F51" s="436"/>
      <c r="G51" s="436"/>
      <c r="H51" s="437"/>
      <c r="I51" s="100"/>
      <c r="K51" s="98"/>
      <c r="L51" s="100"/>
      <c r="M51" s="98"/>
      <c r="N51" s="98"/>
      <c r="O51" s="98"/>
      <c r="P51" s="98"/>
      <c r="Q51" s="98"/>
      <c r="R51" s="98"/>
      <c r="S51" s="98"/>
    </row>
    <row r="52" spans="1:19" s="184" customFormat="1" ht="12" customHeight="1">
      <c r="C52" s="193" t="s">
        <v>24</v>
      </c>
      <c r="D52" s="193"/>
      <c r="E52" s="193" t="s">
        <v>25</v>
      </c>
      <c r="F52" s="193" t="s">
        <v>26</v>
      </c>
      <c r="G52" s="193" t="s">
        <v>27</v>
      </c>
      <c r="H52" s="193" t="s">
        <v>28</v>
      </c>
      <c r="I52" s="193"/>
      <c r="J52" s="194"/>
      <c r="K52" s="194"/>
      <c r="L52" s="194"/>
      <c r="M52" s="194"/>
      <c r="N52" s="194"/>
      <c r="O52" s="194"/>
      <c r="P52" s="194"/>
      <c r="Q52" s="194"/>
      <c r="R52" s="194"/>
      <c r="S52" s="194"/>
    </row>
    <row r="53" spans="1:19" s="184" customFormat="1" ht="24.95" customHeight="1">
      <c r="A53" s="430" t="s">
        <v>185</v>
      </c>
      <c r="C53" s="438"/>
      <c r="D53" s="439"/>
      <c r="E53" s="401"/>
      <c r="F53" s="401"/>
      <c r="G53" s="195"/>
      <c r="H53" s="401"/>
      <c r="I53" s="100">
        <v>0</v>
      </c>
      <c r="K53" s="196" t="s">
        <v>186</v>
      </c>
      <c r="L53" s="100"/>
      <c r="M53" s="196" t="s">
        <v>187</v>
      </c>
      <c r="N53" s="100"/>
      <c r="O53" s="196" t="s">
        <v>188</v>
      </c>
      <c r="P53" s="100"/>
      <c r="Q53" s="196" t="s">
        <v>189</v>
      </c>
      <c r="R53" s="100"/>
      <c r="S53" s="196" t="s">
        <v>190</v>
      </c>
    </row>
    <row r="54" spans="1:19" s="184" customFormat="1" ht="6" customHeight="1">
      <c r="A54" s="431"/>
      <c r="C54" s="197"/>
      <c r="D54" s="197"/>
      <c r="E54" s="191"/>
      <c r="F54" s="191"/>
      <c r="G54" s="191"/>
      <c r="H54" s="191"/>
      <c r="I54" s="100"/>
      <c r="K54" s="100"/>
      <c r="L54" s="100"/>
      <c r="M54" s="100"/>
      <c r="N54" s="100"/>
      <c r="O54" s="100"/>
      <c r="P54" s="100"/>
      <c r="Q54" s="100"/>
      <c r="R54" s="100"/>
      <c r="S54" s="100"/>
    </row>
    <row r="55" spans="1:19" s="184" customFormat="1" ht="24.95" customHeight="1">
      <c r="A55" s="431"/>
      <c r="C55" s="432"/>
      <c r="D55" s="432"/>
      <c r="E55" s="401"/>
      <c r="F55" s="198"/>
      <c r="G55" s="195"/>
      <c r="H55" s="401"/>
      <c r="I55" s="100" t="s">
        <v>191</v>
      </c>
      <c r="K55" s="196" t="s">
        <v>192</v>
      </c>
      <c r="L55" s="100"/>
      <c r="M55" s="196" t="s">
        <v>193</v>
      </c>
      <c r="N55" s="100"/>
      <c r="O55" s="196" t="s">
        <v>194</v>
      </c>
      <c r="P55" s="100"/>
      <c r="Q55" s="196" t="s">
        <v>195</v>
      </c>
      <c r="R55" s="100"/>
      <c r="S55" s="196" t="s">
        <v>196</v>
      </c>
    </row>
    <row r="56" spans="1:19" s="184" customFormat="1" ht="6" customHeight="1">
      <c r="A56" s="431"/>
      <c r="C56" s="197"/>
      <c r="D56" s="197"/>
      <c r="E56" s="191"/>
      <c r="F56" s="191"/>
      <c r="G56" s="191"/>
      <c r="H56" s="191"/>
      <c r="I56" s="100"/>
      <c r="K56" s="100"/>
      <c r="L56" s="100"/>
      <c r="M56" s="100"/>
      <c r="N56" s="100"/>
      <c r="O56" s="100"/>
      <c r="P56" s="100"/>
      <c r="Q56" s="100"/>
      <c r="R56" s="100"/>
      <c r="S56" s="100"/>
    </row>
    <row r="57" spans="1:19" s="184" customFormat="1" ht="24.95" customHeight="1">
      <c r="A57" s="431"/>
      <c r="C57" s="432"/>
      <c r="D57" s="432"/>
      <c r="E57" s="401"/>
      <c r="F57" s="198"/>
      <c r="G57" s="195"/>
      <c r="H57" s="401"/>
      <c r="I57" s="100" t="s">
        <v>197</v>
      </c>
      <c r="K57" s="196" t="s">
        <v>198</v>
      </c>
      <c r="L57" s="100"/>
      <c r="M57" s="196" t="s">
        <v>199</v>
      </c>
      <c r="N57" s="100"/>
      <c r="O57" s="196" t="s">
        <v>200</v>
      </c>
      <c r="P57" s="100"/>
      <c r="Q57" s="196" t="s">
        <v>201</v>
      </c>
      <c r="R57" s="100"/>
      <c r="S57" s="196" t="s">
        <v>202</v>
      </c>
    </row>
    <row r="58" spans="1:19" s="184" customFormat="1" ht="12" customHeight="1">
      <c r="C58" s="202" t="s">
        <v>24</v>
      </c>
      <c r="D58" s="202"/>
      <c r="E58" s="202" t="s">
        <v>25</v>
      </c>
      <c r="F58" s="202" t="s">
        <v>26</v>
      </c>
      <c r="G58" s="202" t="s">
        <v>27</v>
      </c>
      <c r="H58" s="202" t="s">
        <v>28</v>
      </c>
      <c r="I58" s="193"/>
      <c r="J58" s="194"/>
      <c r="K58" s="199"/>
      <c r="L58" s="199"/>
      <c r="M58" s="199"/>
      <c r="N58" s="199"/>
      <c r="O58" s="199"/>
      <c r="P58" s="199"/>
      <c r="Q58" s="199"/>
      <c r="R58" s="199"/>
      <c r="S58" s="199"/>
    </row>
    <row r="59" spans="1:19" s="184" customFormat="1" ht="24.95" customHeight="1">
      <c r="A59" s="430" t="s">
        <v>203</v>
      </c>
      <c r="C59" s="432">
        <v>1</v>
      </c>
      <c r="D59" s="432"/>
      <c r="E59" s="401">
        <v>1</v>
      </c>
      <c r="F59" s="401">
        <v>1</v>
      </c>
      <c r="G59" s="195"/>
      <c r="H59" s="401"/>
      <c r="I59" s="100" t="s">
        <v>40</v>
      </c>
      <c r="K59" s="196" t="s">
        <v>187</v>
      </c>
      <c r="L59" s="100"/>
      <c r="M59" s="196" t="s">
        <v>188</v>
      </c>
      <c r="N59" s="100"/>
      <c r="O59" s="196" t="s">
        <v>189</v>
      </c>
      <c r="P59" s="100"/>
      <c r="Q59" s="196" t="s">
        <v>190</v>
      </c>
      <c r="R59" s="100"/>
      <c r="S59" s="196" t="s">
        <v>208</v>
      </c>
    </row>
    <row r="60" spans="1:19" s="184" customFormat="1" ht="6" customHeight="1">
      <c r="A60" s="431"/>
      <c r="C60" s="197"/>
      <c r="D60" s="197"/>
      <c r="E60" s="191"/>
      <c r="F60" s="191"/>
      <c r="G60" s="191"/>
      <c r="H60" s="191"/>
      <c r="I60" s="100"/>
      <c r="K60" s="100"/>
      <c r="L60" s="100"/>
      <c r="M60" s="100"/>
      <c r="N60" s="100"/>
      <c r="O60" s="100"/>
      <c r="P60" s="100"/>
      <c r="Q60" s="100"/>
      <c r="R60" s="100"/>
      <c r="S60" s="100"/>
    </row>
    <row r="61" spans="1:19" s="184" customFormat="1" ht="24.95" customHeight="1">
      <c r="A61" s="431"/>
      <c r="C61" s="432">
        <v>2</v>
      </c>
      <c r="D61" s="432"/>
      <c r="E61" s="401">
        <v>2</v>
      </c>
      <c r="F61" s="198">
        <v>2</v>
      </c>
      <c r="G61" s="195"/>
      <c r="H61" s="401"/>
      <c r="I61" s="100" t="s">
        <v>191</v>
      </c>
      <c r="K61" s="196" t="s">
        <v>192</v>
      </c>
      <c r="L61" s="100"/>
      <c r="M61" s="196" t="s">
        <v>193</v>
      </c>
      <c r="N61" s="100"/>
      <c r="O61" s="196" t="s">
        <v>194</v>
      </c>
      <c r="P61" s="100"/>
      <c r="Q61" s="196" t="s">
        <v>195</v>
      </c>
      <c r="R61" s="100"/>
      <c r="S61" s="196" t="s">
        <v>196</v>
      </c>
    </row>
    <row r="62" spans="1:19" s="184" customFormat="1" ht="6.75" customHeight="1">
      <c r="A62" s="431"/>
      <c r="C62" s="197"/>
      <c r="D62" s="197"/>
      <c r="E62" s="191"/>
      <c r="F62" s="191"/>
      <c r="G62" s="191"/>
      <c r="H62" s="191"/>
      <c r="I62" s="100"/>
      <c r="K62" s="100"/>
      <c r="L62" s="100"/>
      <c r="M62" s="100"/>
      <c r="N62" s="100"/>
      <c r="O62" s="100"/>
      <c r="P62" s="100"/>
      <c r="Q62" s="100"/>
      <c r="R62" s="100"/>
      <c r="S62" s="100"/>
    </row>
    <row r="63" spans="1:19" s="184" customFormat="1" ht="24.75" customHeight="1">
      <c r="A63" s="431"/>
      <c r="C63" s="432">
        <v>1</v>
      </c>
      <c r="D63" s="432"/>
      <c r="E63" s="401">
        <v>1</v>
      </c>
      <c r="F63" s="198">
        <v>1</v>
      </c>
      <c r="G63" s="195"/>
      <c r="H63" s="401"/>
      <c r="I63" s="100" t="s">
        <v>197</v>
      </c>
      <c r="K63" s="196" t="s">
        <v>199</v>
      </c>
      <c r="L63" s="100"/>
      <c r="M63" s="196" t="s">
        <v>200</v>
      </c>
      <c r="N63" s="100"/>
      <c r="O63" s="196" t="s">
        <v>201</v>
      </c>
      <c r="P63" s="100"/>
      <c r="Q63" s="196" t="s">
        <v>202</v>
      </c>
      <c r="R63" s="100"/>
      <c r="S63" s="196" t="s">
        <v>209</v>
      </c>
    </row>
    <row r="64" spans="1:19" s="97" customFormat="1" ht="6" customHeight="1">
      <c r="C64" s="188"/>
      <c r="D64" s="188"/>
      <c r="E64" s="188"/>
      <c r="F64" s="188"/>
      <c r="G64" s="188"/>
      <c r="H64" s="188"/>
      <c r="I64" s="188"/>
      <c r="J64" s="189"/>
      <c r="K64" s="189"/>
      <c r="L64" s="189"/>
      <c r="M64" s="189"/>
      <c r="N64" s="189"/>
      <c r="O64" s="189"/>
      <c r="P64" s="189"/>
      <c r="Q64" s="189"/>
      <c r="R64" s="189"/>
      <c r="S64" s="189"/>
    </row>
    <row r="65" spans="1:19" s="97" customFormat="1" ht="6" customHeight="1">
      <c r="K65" s="98"/>
      <c r="M65" s="98"/>
      <c r="O65" s="98"/>
      <c r="Q65" s="98"/>
      <c r="S65" s="98"/>
    </row>
    <row r="66" spans="1:19" s="97" customFormat="1" ht="6" customHeight="1">
      <c r="K66" s="98"/>
      <c r="M66" s="98"/>
      <c r="O66" s="98"/>
      <c r="Q66" s="98"/>
      <c r="S66" s="98"/>
    </row>
    <row r="67" spans="1:19" s="97" customFormat="1" ht="45" customHeight="1">
      <c r="A67" s="186"/>
      <c r="C67" s="433" t="s">
        <v>210</v>
      </c>
      <c r="D67" s="433"/>
      <c r="E67" s="433"/>
      <c r="F67" s="433"/>
      <c r="G67" s="440" t="s">
        <v>179</v>
      </c>
      <c r="H67" s="440"/>
      <c r="I67" s="187" t="s">
        <v>180</v>
      </c>
      <c r="K67" s="98">
        <f>ROUND(IF($I67="1/2-time",K68,K69),0)</f>
        <v>0</v>
      </c>
      <c r="M67" s="98">
        <f>ROUND(IF($I$67="1/2-time",M68,M69),0)</f>
        <v>0</v>
      </c>
      <c r="O67" s="98">
        <f>ROUND(IF($I$67="1/2-time",O68,O69),0)</f>
        <v>0</v>
      </c>
      <c r="Q67" s="98">
        <f>ROUND(IF($I$67="1/2-time",Q68,Q69),0)</f>
        <v>0</v>
      </c>
      <c r="S67" s="98">
        <f>ROUND(IF($I$67="1/2-time",S68,S69),0)</f>
        <v>0</v>
      </c>
    </row>
    <row r="68" spans="1:19" s="97" customFormat="1" ht="14.25" hidden="1" customHeight="1">
      <c r="A68" s="97">
        <v>8</v>
      </c>
      <c r="C68" s="434" t="s">
        <v>181</v>
      </c>
      <c r="D68" s="434"/>
      <c r="E68" s="434"/>
      <c r="F68" s="434"/>
      <c r="G68" s="400"/>
      <c r="H68" s="400"/>
      <c r="I68" s="400" t="s">
        <v>182</v>
      </c>
      <c r="K68" s="98">
        <f>+C74*VLOOKUP(K74,$I$201:$Q$227,5,FALSE)+C76*VLOOKUP(K76,$I$201:$Q$227,5,FALSE)+C78*VLOOKUP(K78,$I$201:$Q$227,5,FALSE)+C80*VLOOKUP(K80,$I$201:$Q$227,9,FALSE)+C82*VLOOKUP(K82,$I$201:$Q$227,9,FALSE)+C84*VLOOKUP(K84,$I$201:$Q$227,9,FALSE)</f>
        <v>0</v>
      </c>
      <c r="L68" s="98"/>
      <c r="M68" s="98">
        <f>+E74*VLOOKUP(M74,$I$201:$Q$227,5,FALSE)+E76*VLOOKUP(M76,$I$201:$Q$227,5,FALSE)+E78*VLOOKUP(M78,$I$201:$Q$227,5,FALSE)+E80*VLOOKUP(M80,$I$201:$Q$227,9,FALSE)+E82*VLOOKUP(M82,$I$201:$Q$227,9,FALSE)+E84*VLOOKUP(M84,$I$201:$Q$227,9,FALSE)</f>
        <v>0</v>
      </c>
      <c r="N68" s="98"/>
      <c r="O68" s="98">
        <f>+F74*VLOOKUP(O74,$I$201:$Q$227,5,FALSE)+F76*VLOOKUP(O76,$I$201:$Q$227,5,FALSE)+F78*VLOOKUP(O78,$I$201:$Q$227,5,FALSE)+F80*VLOOKUP(O80,$I$201:$Q$227,9,FALSE)+F82*VLOOKUP(O82,$I$201:$Q$227,9,FALSE)+F84*VLOOKUP(O84,$I$201:$Q$227,9,FALSE)</f>
        <v>0</v>
      </c>
      <c r="P68" s="98"/>
      <c r="Q68" s="98">
        <f>+G74*VLOOKUP(Q74,$I$201:$Q$227,5,FALSE)+G76*VLOOKUP(Q76,$I$201:$Q$227,5,FALSE)+G78*VLOOKUP(Q78,$I$201:$Q$227,5,FALSE)+G80*VLOOKUP(Q80,$I$201:$Q$227,9,FALSE)+G82*VLOOKUP(Q82,$I$201:$Q$227,9,FALSE)+G84*VLOOKUP(Q84,$I$201:$Q$227,9,FALSE)</f>
        <v>0</v>
      </c>
      <c r="R68" s="98"/>
      <c r="S68" s="98">
        <f>+H74*VLOOKUP(S74,$I$201:$Q$227,5,FALSE)+H76*VLOOKUP(S76,$I$201:$Q$227,5,FALSE)+H78*VLOOKUP(S78,$I$201:$Q$227,5,FALSE)+H80*VLOOKUP(S80,$I$201:$Q$227,9,FALSE)+H82*VLOOKUP(S82,$I$201:$Q$227,9,FALSE)+H84*VLOOKUP(S84,$I$201:$Q$227,9,FALSE)</f>
        <v>0</v>
      </c>
    </row>
    <row r="69" spans="1:19" s="97" customFormat="1" ht="21.75" hidden="1" customHeight="1">
      <c r="A69" s="97">
        <v>8</v>
      </c>
      <c r="C69" s="434" t="s">
        <v>181</v>
      </c>
      <c r="D69" s="434"/>
      <c r="E69" s="434"/>
      <c r="F69" s="434"/>
      <c r="G69" s="400"/>
      <c r="H69" s="400"/>
      <c r="I69" s="400" t="s">
        <v>183</v>
      </c>
      <c r="K69" s="98">
        <f>+C74*VLOOKUP(K74,$I$201:$Q$227,3,FALSE)+C76*VLOOKUP(K76,$I$201:$Q$227,3,FALSE)+C78*VLOOKUP(K78,$I$201:$Q$227,3,FALSE)+C80*VLOOKUP(K80,$I$201:$Q$227,7,FALSE)+C82*VLOOKUP(K82,$I$201:$Q$227,7,FALSE)+C84*VLOOKUP(K84,$I$201:$Q$227,7,FALSE)</f>
        <v>0</v>
      </c>
      <c r="M69" s="98">
        <f>+E74*VLOOKUP(M74,$I$201:$Q$227,3,FALSE)+E76*VLOOKUP(M76,$I$201:$Q$227,3,FALSE)+E78*VLOOKUP(M78,$I$201:$Q$227,3,FALSE)+E80*VLOOKUP(M80,$I$201:$Q$227,7,FALSE)+E82*VLOOKUP(M82,$I$201:$Q$227,7,FALSE)+E84*VLOOKUP(M84,$I$201:$Q$227,7,FALSE)</f>
        <v>0</v>
      </c>
      <c r="O69" s="98">
        <f>+F74*VLOOKUP(O74,$I$201:$Q$227,3,FALSE)+F76*VLOOKUP(O76,$I$201:$Q$227,3,FALSE)+F78*VLOOKUP(O78,$I$201:$Q$227,3,FALSE)+F80*VLOOKUP(O80,$I$201:$Q$227,7,FALSE)+F82*VLOOKUP(O82,$I$201:$Q$227,7,FALSE)+F84*VLOOKUP(O84,$I$201:$Q$227,7,FALSE)</f>
        <v>0</v>
      </c>
      <c r="Q69" s="98">
        <f>+G74*VLOOKUP(Q74,$I$201:$Q$227,3,FALSE)+G76*VLOOKUP(Q76,$I$201:$Q$227,3,FALSE)+G78*VLOOKUP(Q78,$I$201:$Q$227,3,FALSE)+G80*VLOOKUP(Q80,$I$201:$Q$227,7,FALSE)+G82*VLOOKUP(Q82,$I$201:$Q$227,7,FALSE)+G84*VLOOKUP(Q84,$I$201:$Q$227,7,FALSE)</f>
        <v>0</v>
      </c>
      <c r="S69" s="98">
        <f>+H74*VLOOKUP(S74,$I$201:$Q$227,3,FALSE)+H76*VLOOKUP(S76,$I$201:$Q$227,3,FALSE)+H78*VLOOKUP(S78,$I$201:$Q$227,3,FALSE)+H80*VLOOKUP(S80,$I$201:$Q$227,7,FALSE)+H82*VLOOKUP(S82,$I$201:$Q$227,7,FALSE)+H84*VLOOKUP(S84,$I$201:$Q$227,7,FALSE)</f>
        <v>0</v>
      </c>
    </row>
    <row r="70" spans="1:19" s="97" customFormat="1" ht="6" customHeight="1">
      <c r="C70" s="188"/>
      <c r="D70" s="188"/>
      <c r="E70" s="188"/>
      <c r="F70" s="188"/>
      <c r="G70" s="188"/>
      <c r="H70" s="188"/>
      <c r="I70" s="188"/>
      <c r="J70" s="189"/>
      <c r="K70" s="189"/>
      <c r="L70" s="189"/>
      <c r="M70" s="189"/>
      <c r="N70" s="189"/>
      <c r="O70" s="189"/>
      <c r="P70" s="189"/>
      <c r="Q70" s="189"/>
      <c r="R70" s="189"/>
      <c r="S70" s="189"/>
    </row>
    <row r="71" spans="1:19" s="184" customFormat="1" ht="6" customHeight="1">
      <c r="A71" s="190"/>
      <c r="C71" s="191"/>
      <c r="D71" s="191"/>
      <c r="E71" s="191"/>
      <c r="F71" s="192"/>
      <c r="G71" s="192"/>
      <c r="H71" s="191"/>
      <c r="I71" s="100"/>
      <c r="K71" s="100"/>
      <c r="L71" s="100"/>
      <c r="M71" s="100"/>
      <c r="N71" s="100"/>
      <c r="O71" s="100"/>
      <c r="P71" s="100"/>
      <c r="Q71" s="100"/>
      <c r="R71" s="100"/>
      <c r="S71" s="100"/>
    </row>
    <row r="72" spans="1:19" s="184" customFormat="1" ht="24.95" customHeight="1">
      <c r="A72" s="97"/>
      <c r="C72" s="435" t="s">
        <v>211</v>
      </c>
      <c r="D72" s="436"/>
      <c r="E72" s="436"/>
      <c r="F72" s="436"/>
      <c r="G72" s="436"/>
      <c r="H72" s="437"/>
      <c r="I72" s="100"/>
      <c r="K72" s="98"/>
      <c r="L72" s="100"/>
      <c r="M72" s="98"/>
      <c r="N72" s="98"/>
      <c r="O72" s="98"/>
      <c r="P72" s="98"/>
      <c r="Q72" s="98"/>
      <c r="R72" s="98"/>
      <c r="S72" s="98"/>
    </row>
    <row r="73" spans="1:19" s="184" customFormat="1" ht="12" customHeight="1">
      <c r="C73" s="193" t="s">
        <v>24</v>
      </c>
      <c r="D73" s="193"/>
      <c r="E73" s="193" t="s">
        <v>25</v>
      </c>
      <c r="F73" s="193" t="s">
        <v>26</v>
      </c>
      <c r="G73" s="193" t="s">
        <v>27</v>
      </c>
      <c r="H73" s="193" t="s">
        <v>28</v>
      </c>
      <c r="I73" s="193"/>
      <c r="J73" s="194"/>
      <c r="K73" s="194"/>
      <c r="L73" s="194"/>
      <c r="M73" s="194"/>
      <c r="N73" s="194"/>
      <c r="O73" s="194"/>
      <c r="P73" s="194"/>
      <c r="Q73" s="194"/>
      <c r="R73" s="194"/>
      <c r="S73" s="194"/>
    </row>
    <row r="74" spans="1:19" s="184" customFormat="1" ht="24.95" customHeight="1">
      <c r="A74" s="430" t="s">
        <v>185</v>
      </c>
      <c r="C74" s="438"/>
      <c r="D74" s="439"/>
      <c r="E74" s="401"/>
      <c r="F74" s="401"/>
      <c r="G74" s="195"/>
      <c r="H74" s="401"/>
      <c r="I74" s="100" t="s">
        <v>40</v>
      </c>
      <c r="K74" s="196" t="s">
        <v>186</v>
      </c>
      <c r="L74" s="100"/>
      <c r="M74" s="196" t="s">
        <v>187</v>
      </c>
      <c r="N74" s="100"/>
      <c r="O74" s="196" t="s">
        <v>188</v>
      </c>
      <c r="P74" s="100"/>
      <c r="Q74" s="196" t="s">
        <v>189</v>
      </c>
      <c r="R74" s="100"/>
      <c r="S74" s="196" t="s">
        <v>190</v>
      </c>
    </row>
    <row r="75" spans="1:19" s="184" customFormat="1" ht="6" customHeight="1">
      <c r="A75" s="430"/>
      <c r="C75" s="197"/>
      <c r="D75" s="197"/>
      <c r="E75" s="191"/>
      <c r="F75" s="191"/>
      <c r="G75" s="191"/>
      <c r="H75" s="191"/>
      <c r="I75" s="100"/>
      <c r="K75" s="100"/>
      <c r="L75" s="100"/>
      <c r="M75" s="100"/>
      <c r="N75" s="100"/>
      <c r="O75" s="100"/>
      <c r="P75" s="100"/>
      <c r="Q75" s="100"/>
      <c r="R75" s="100"/>
      <c r="S75" s="100"/>
    </row>
    <row r="76" spans="1:19" s="184" customFormat="1" ht="24.95" customHeight="1">
      <c r="A76" s="430"/>
      <c r="C76" s="438"/>
      <c r="D76" s="439"/>
      <c r="E76" s="401"/>
      <c r="F76" s="198"/>
      <c r="G76" s="195"/>
      <c r="H76" s="401"/>
      <c r="I76" s="100" t="s">
        <v>191</v>
      </c>
      <c r="K76" s="196" t="s">
        <v>192</v>
      </c>
      <c r="L76" s="100"/>
      <c r="M76" s="196" t="s">
        <v>193</v>
      </c>
      <c r="N76" s="100"/>
      <c r="O76" s="196" t="s">
        <v>194</v>
      </c>
      <c r="P76" s="100"/>
      <c r="Q76" s="196" t="s">
        <v>195</v>
      </c>
      <c r="R76" s="100"/>
      <c r="S76" s="196" t="s">
        <v>196</v>
      </c>
    </row>
    <row r="77" spans="1:19" s="184" customFormat="1" ht="6" customHeight="1">
      <c r="A77" s="430"/>
      <c r="C77" s="197"/>
      <c r="D77" s="197"/>
      <c r="E77" s="191"/>
      <c r="F77" s="191"/>
      <c r="G77" s="191"/>
      <c r="H77" s="191"/>
      <c r="I77" s="100"/>
      <c r="K77" s="100"/>
      <c r="L77" s="100"/>
      <c r="M77" s="100"/>
      <c r="N77" s="100"/>
      <c r="O77" s="100"/>
      <c r="P77" s="100"/>
      <c r="Q77" s="100"/>
      <c r="R77" s="100"/>
      <c r="S77" s="100"/>
    </row>
    <row r="78" spans="1:19" s="184" customFormat="1" ht="24.95" customHeight="1">
      <c r="A78" s="430"/>
      <c r="C78" s="438"/>
      <c r="D78" s="439"/>
      <c r="E78" s="401"/>
      <c r="F78" s="198"/>
      <c r="G78" s="195"/>
      <c r="H78" s="401"/>
      <c r="I78" s="100" t="s">
        <v>197</v>
      </c>
      <c r="K78" s="196" t="s">
        <v>198</v>
      </c>
      <c r="L78" s="100"/>
      <c r="M78" s="196" t="s">
        <v>199</v>
      </c>
      <c r="N78" s="100"/>
      <c r="O78" s="196" t="s">
        <v>200</v>
      </c>
      <c r="P78" s="100"/>
      <c r="Q78" s="196" t="s">
        <v>201</v>
      </c>
      <c r="R78" s="100"/>
      <c r="S78" s="196" t="s">
        <v>202</v>
      </c>
    </row>
    <row r="79" spans="1:19" s="184" customFormat="1" ht="12" customHeight="1">
      <c r="C79" s="202" t="s">
        <v>24</v>
      </c>
      <c r="D79" s="202"/>
      <c r="E79" s="202" t="s">
        <v>25</v>
      </c>
      <c r="F79" s="202" t="s">
        <v>26</v>
      </c>
      <c r="G79" s="202" t="s">
        <v>27</v>
      </c>
      <c r="H79" s="202" t="s">
        <v>28</v>
      </c>
      <c r="I79" s="193"/>
      <c r="J79" s="194"/>
      <c r="K79" s="199"/>
      <c r="L79" s="199"/>
      <c r="M79" s="199"/>
      <c r="N79" s="199"/>
      <c r="O79" s="199"/>
      <c r="P79" s="199"/>
      <c r="Q79" s="199"/>
      <c r="R79" s="199"/>
      <c r="S79" s="199"/>
    </row>
    <row r="80" spans="1:19" s="184" customFormat="1" ht="24.95" customHeight="1">
      <c r="A80" s="430" t="s">
        <v>203</v>
      </c>
      <c r="C80" s="438"/>
      <c r="D80" s="439"/>
      <c r="E80" s="401"/>
      <c r="F80" s="401"/>
      <c r="G80" s="195"/>
      <c r="H80" s="401"/>
      <c r="I80" s="100" t="s">
        <v>40</v>
      </c>
      <c r="K80" s="196" t="s">
        <v>186</v>
      </c>
      <c r="L80" s="100"/>
      <c r="M80" s="196" t="s">
        <v>187</v>
      </c>
      <c r="N80" s="100"/>
      <c r="O80" s="196" t="s">
        <v>188</v>
      </c>
      <c r="P80" s="100"/>
      <c r="Q80" s="196" t="s">
        <v>189</v>
      </c>
      <c r="R80" s="100"/>
      <c r="S80" s="196" t="s">
        <v>190</v>
      </c>
    </row>
    <row r="81" spans="1:19" s="184" customFormat="1" ht="6" customHeight="1">
      <c r="A81" s="430"/>
      <c r="C81" s="197"/>
      <c r="D81" s="197"/>
      <c r="E81" s="191"/>
      <c r="F81" s="191"/>
      <c r="G81" s="191"/>
      <c r="H81" s="191"/>
      <c r="I81" s="100"/>
      <c r="K81" s="100"/>
      <c r="L81" s="100"/>
      <c r="M81" s="100"/>
      <c r="N81" s="100"/>
      <c r="O81" s="100"/>
      <c r="P81" s="100"/>
      <c r="Q81" s="100"/>
      <c r="R81" s="100"/>
      <c r="S81" s="100"/>
    </row>
    <row r="82" spans="1:19" s="184" customFormat="1" ht="24.95" customHeight="1">
      <c r="A82" s="430"/>
      <c r="C82" s="438"/>
      <c r="D82" s="439"/>
      <c r="E82" s="401"/>
      <c r="F82" s="198"/>
      <c r="G82" s="195"/>
      <c r="H82" s="401"/>
      <c r="I82" s="100" t="s">
        <v>191</v>
      </c>
      <c r="K82" s="196" t="s">
        <v>192</v>
      </c>
      <c r="L82" s="100"/>
      <c r="M82" s="196" t="s">
        <v>193</v>
      </c>
      <c r="N82" s="100"/>
      <c r="O82" s="196" t="s">
        <v>194</v>
      </c>
      <c r="P82" s="100"/>
      <c r="Q82" s="196" t="s">
        <v>195</v>
      </c>
      <c r="R82" s="100"/>
      <c r="S82" s="196" t="s">
        <v>196</v>
      </c>
    </row>
    <row r="83" spans="1:19" s="184" customFormat="1" ht="6.75" customHeight="1">
      <c r="A83" s="430"/>
      <c r="C83" s="197"/>
      <c r="D83" s="197"/>
      <c r="E83" s="191"/>
      <c r="F83" s="191"/>
      <c r="G83" s="191"/>
      <c r="H83" s="191"/>
      <c r="I83" s="100"/>
      <c r="K83" s="100"/>
      <c r="L83" s="100"/>
      <c r="M83" s="100"/>
      <c r="N83" s="100"/>
      <c r="O83" s="100"/>
      <c r="P83" s="100"/>
      <c r="Q83" s="100"/>
      <c r="R83" s="100"/>
      <c r="S83" s="100"/>
    </row>
    <row r="84" spans="1:19" s="184" customFormat="1" ht="24.75" customHeight="1">
      <c r="A84" s="430"/>
      <c r="C84" s="438"/>
      <c r="D84" s="439"/>
      <c r="E84" s="401"/>
      <c r="F84" s="198"/>
      <c r="G84" s="195"/>
      <c r="H84" s="401"/>
      <c r="I84" s="100" t="s">
        <v>197</v>
      </c>
      <c r="K84" s="196" t="s">
        <v>198</v>
      </c>
      <c r="L84" s="100"/>
      <c r="M84" s="196" t="s">
        <v>199</v>
      </c>
      <c r="N84" s="100"/>
      <c r="O84" s="196" t="s">
        <v>200</v>
      </c>
      <c r="P84" s="100"/>
      <c r="Q84" s="196" t="s">
        <v>201</v>
      </c>
      <c r="R84" s="100"/>
      <c r="S84" s="196" t="s">
        <v>202</v>
      </c>
    </row>
    <row r="85" spans="1:19" s="97" customFormat="1" ht="28.5" customHeight="1">
      <c r="A85" s="444" t="s">
        <v>212</v>
      </c>
      <c r="B85" s="444"/>
      <c r="C85" s="444"/>
      <c r="D85" s="444"/>
      <c r="E85" s="444"/>
      <c r="F85" s="444"/>
      <c r="G85" s="444"/>
      <c r="H85" s="444"/>
      <c r="I85" s="444"/>
      <c r="K85" s="98"/>
      <c r="M85" s="98"/>
      <c r="O85" s="98"/>
      <c r="Q85" s="98"/>
      <c r="S85" s="98"/>
    </row>
    <row r="86" spans="1:19" s="97" customFormat="1" ht="11.25" customHeight="1">
      <c r="A86" s="444"/>
      <c r="B86" s="444"/>
      <c r="C86" s="444"/>
      <c r="D86" s="444"/>
      <c r="E86" s="444"/>
      <c r="F86" s="444"/>
      <c r="G86" s="444"/>
      <c r="H86" s="444"/>
      <c r="I86" s="444"/>
      <c r="K86" s="98"/>
      <c r="M86" s="98"/>
      <c r="O86" s="98"/>
      <c r="Q86" s="98"/>
      <c r="S86" s="98"/>
    </row>
    <row r="87" spans="1:19" s="97" customFormat="1" ht="11.25" customHeight="1">
      <c r="A87" s="399"/>
      <c r="B87" s="399"/>
      <c r="C87" s="399"/>
      <c r="D87" s="399"/>
      <c r="E87" s="399"/>
      <c r="F87" s="399"/>
      <c r="G87" s="399"/>
      <c r="H87" s="399"/>
      <c r="I87" s="399"/>
      <c r="K87" s="98"/>
      <c r="M87" s="98"/>
      <c r="O87" s="98"/>
      <c r="Q87" s="98"/>
      <c r="S87" s="98"/>
    </row>
    <row r="88" spans="1:19" s="97" customFormat="1" ht="45" customHeight="1">
      <c r="A88" s="186"/>
      <c r="C88" s="433" t="s">
        <v>213</v>
      </c>
      <c r="D88" s="433"/>
      <c r="E88" s="433"/>
      <c r="F88" s="433"/>
      <c r="G88" s="440" t="s">
        <v>179</v>
      </c>
      <c r="H88" s="440"/>
      <c r="I88" s="187" t="s">
        <v>180</v>
      </c>
      <c r="K88" s="98">
        <f>ROUND(IF($I88="1/2-time",K89,K90),0)</f>
        <v>0</v>
      </c>
      <c r="M88" s="98">
        <f>ROUND(IF(I88="1/2-time",M89,M90),0)</f>
        <v>0</v>
      </c>
      <c r="O88" s="98">
        <f>ROUND(IF($I$88="1/2-time",O89,O90),0)</f>
        <v>0</v>
      </c>
      <c r="Q88" s="98">
        <f>ROUND(IF($I$88="1/2-time",Q89,Q90),0)</f>
        <v>0</v>
      </c>
      <c r="S88" s="98">
        <f>ROUND(IF($I$88="1/2-time",S89,S90),0)</f>
        <v>0</v>
      </c>
    </row>
    <row r="89" spans="1:19" s="97" customFormat="1" ht="14.25" hidden="1" customHeight="1">
      <c r="A89" s="97">
        <v>8</v>
      </c>
      <c r="C89" s="434" t="s">
        <v>181</v>
      </c>
      <c r="D89" s="434"/>
      <c r="E89" s="434"/>
      <c r="F89" s="434"/>
      <c r="G89" s="400"/>
      <c r="H89" s="400"/>
      <c r="I89" s="400" t="s">
        <v>182</v>
      </c>
      <c r="K89" s="98">
        <f>+C95*VLOOKUP(K95,$I$231:$Q$257,5,FALSE)+C97*VLOOKUP(K97,$I$231:$Q$257,5,FALSE)+C99*VLOOKUP(K99,$I$231:$Q$257,5,FALSE)+C101*VLOOKUP(K101,$I$231:$Q$257,9,FALSE)+C103*VLOOKUP(K103,$I$231:$Q$257,9,FALSE)+C105*VLOOKUP(K105,$I$231:$Q$257,9,FALSE)</f>
        <v>0</v>
      </c>
      <c r="L89" s="98"/>
      <c r="M89" s="98">
        <f>+E95*VLOOKUP(M95,$I$231:$Q$257,5,FALSE)+E97*VLOOKUP(M97,$I$231:$Q$257,5,FALSE)+E99*VLOOKUP(M99,$I$231:$Q$257,5,FALSE)+E101*VLOOKUP(M101,$I$231:$Q$257,9,FALSE)+E103*VLOOKUP(M103,$I$231:$Q$257,9,FALSE)+E105*VLOOKUP(M105,$I$231:$Q$257,9,FALSE)</f>
        <v>0</v>
      </c>
      <c r="N89" s="98"/>
      <c r="O89" s="98">
        <f>+F95*VLOOKUP(O95,$I$231:$Q$257,5,FALSE)+F97*VLOOKUP(O97,$I$231:$Q$257,5,FALSE)+F99*VLOOKUP(O99,$I$231:$Q$257,5,FALSE)+F101*VLOOKUP(O101,$I$231:$Q$257,9,FALSE)+F103*VLOOKUP(O103,$I$231:$Q$257,9,FALSE)+F105*VLOOKUP(O105,$I$231:$Q$257,9,FALSE)</f>
        <v>0</v>
      </c>
      <c r="P89" s="98"/>
      <c r="Q89" s="98">
        <f>+G95*VLOOKUP(Q95,$I$231:$Q$257,5,FALSE)+G97*VLOOKUP(Q97,$I$231:$Q$257,5,FALSE)+G99*VLOOKUP(Q99,$I$231:$Q$257,5,FALSE)+G101*VLOOKUP(Q101,$I$231:$Q$257,9,FALSE)+G103*VLOOKUP(Q103,$I$231:$Q$257,9,FALSE)+G105*VLOOKUP(Q105,$I$231:$Q$257,9,FALSE)</f>
        <v>0</v>
      </c>
      <c r="R89" s="98"/>
      <c r="S89" s="98">
        <f>+H95*VLOOKUP(S95,$I$231:$Q$257,5,FALSE)+H97*VLOOKUP(S97,$I$231:$Q$257,5,FALSE)+H99*VLOOKUP(S99,$I$231:$Q$257,5,FALSE)+H101*VLOOKUP(S101,$I$231:$Q$257,9,FALSE)+H103*VLOOKUP(S103,$I$231:$Q$257,9,FALSE)+H105*VLOOKUP(S105,$I$231:$Q$257,9,FALSE)</f>
        <v>0</v>
      </c>
    </row>
    <row r="90" spans="1:19" s="97" customFormat="1" ht="21.75" hidden="1" customHeight="1">
      <c r="A90" s="97">
        <v>8</v>
      </c>
      <c r="C90" s="434" t="s">
        <v>181</v>
      </c>
      <c r="D90" s="434"/>
      <c r="E90" s="434"/>
      <c r="F90" s="434"/>
      <c r="G90" s="400"/>
      <c r="H90" s="400"/>
      <c r="I90" s="400" t="s">
        <v>183</v>
      </c>
      <c r="K90" s="98">
        <f>+C95*VLOOKUP(K95,$I$231:$Q$257,3,FALSE)+C97*VLOOKUP(K97,$I$231:$Q$257,3,FALSE)+C99*VLOOKUP(K99,$I$231:$Q$257,3,FALSE)+C101*VLOOKUP(K101,$I$231:$Q$257,7,FALSE)+C103*VLOOKUP(K103,$I$231:$Q$257,7,FALSE)+C105*VLOOKUP(K105,$I$231:$Q$257,7,FALSE)</f>
        <v>0</v>
      </c>
      <c r="M90" s="98">
        <f>+E95*VLOOKUP(M95,$I$231:$Q$257,3,FALSE)+E97*VLOOKUP(M97,$I$231:$Q$257,3,FALSE)+E99*VLOOKUP(M99,$I$231:$Q$257,3,FALSE)+E101*VLOOKUP(M101,$I$231:$Q$257,7,FALSE)+E103*VLOOKUP(M103,$I$231:$Q$257,7,FALSE)+E105*VLOOKUP(M105,$I$231:$Q$257,7,FALSE)</f>
        <v>0</v>
      </c>
      <c r="O90" s="98">
        <f>+F95*VLOOKUP(O95,$I$231:$Q$257,3,FALSE)+F97*VLOOKUP(O97,$I$231:$Q$257,3,FALSE)+F99*VLOOKUP(O99,$I$231:$Q$257,3,FALSE)+F101*VLOOKUP(O101,$I$231:$Q$257,7,FALSE)+F103*VLOOKUP(O103,$I$231:$Q$257,7,FALSE)+F105*VLOOKUP(O105,$I$231:$Q$257,7,FALSE)</f>
        <v>0</v>
      </c>
      <c r="Q90" s="98">
        <f>+G95*VLOOKUP(Q95,$I$231:$Q$257,3,FALSE)+G97*VLOOKUP(Q97,$I$231:$Q$257,3,FALSE)+G99*VLOOKUP(Q99,$I$231:$Q$257,3,FALSE)+G101*VLOOKUP(Q101,$I$231:$Q$257,7,FALSE)+G103*VLOOKUP(Q103,$I$231:$Q$257,7,FALSE)+G105*VLOOKUP(Q105,$I$231:$Q$257,7,FALSE)</f>
        <v>0</v>
      </c>
      <c r="S90" s="98">
        <f>+H95*VLOOKUP(S95,$I$231:$Q$257,3,FALSE)+H97*VLOOKUP(S97,$I$231:$Q$257,3,FALSE)+H99*VLOOKUP(S99,$I$231:$Q$257,3,FALSE)+H101*VLOOKUP(S101,$I$231:$Q$257,7,FALSE)+H103*VLOOKUP(S103,$I$231:$Q$257,7,FALSE)+H105*VLOOKUP(S105,$I$231:$Q$257,7,FALSE)</f>
        <v>0</v>
      </c>
    </row>
    <row r="91" spans="1:19" s="97" customFormat="1" ht="6" customHeight="1">
      <c r="C91" s="188"/>
      <c r="D91" s="188"/>
      <c r="E91" s="188"/>
      <c r="F91" s="188"/>
      <c r="G91" s="188"/>
      <c r="H91" s="188"/>
      <c r="I91" s="188"/>
      <c r="J91" s="189"/>
      <c r="K91" s="189"/>
      <c r="L91" s="189"/>
      <c r="M91" s="189"/>
      <c r="N91" s="189"/>
      <c r="O91" s="189"/>
      <c r="P91" s="189"/>
      <c r="Q91" s="189"/>
      <c r="R91" s="189"/>
      <c r="S91" s="189"/>
    </row>
    <row r="92" spans="1:19" s="184" customFormat="1" ht="6" customHeight="1">
      <c r="A92" s="190"/>
      <c r="C92" s="191"/>
      <c r="D92" s="191"/>
      <c r="E92" s="191"/>
      <c r="F92" s="192"/>
      <c r="G92" s="192"/>
      <c r="H92" s="191"/>
      <c r="I92" s="100"/>
      <c r="K92" s="100"/>
      <c r="L92" s="100"/>
      <c r="M92" s="100"/>
      <c r="N92" s="100"/>
      <c r="O92" s="100"/>
      <c r="P92" s="100"/>
      <c r="Q92" s="100"/>
      <c r="R92" s="100"/>
      <c r="S92" s="100"/>
    </row>
    <row r="93" spans="1:19" s="184" customFormat="1" ht="24.95" customHeight="1">
      <c r="A93" s="97"/>
      <c r="C93" s="435" t="s">
        <v>214</v>
      </c>
      <c r="D93" s="436"/>
      <c r="E93" s="436"/>
      <c r="F93" s="436"/>
      <c r="G93" s="436"/>
      <c r="H93" s="437"/>
      <c r="I93" s="100"/>
      <c r="K93" s="98"/>
      <c r="L93" s="100"/>
      <c r="M93" s="98"/>
      <c r="N93" s="98"/>
      <c r="O93" s="98"/>
      <c r="P93" s="98"/>
      <c r="Q93" s="98"/>
      <c r="R93" s="98"/>
      <c r="S93" s="98"/>
    </row>
    <row r="94" spans="1:19" s="184" customFormat="1" ht="12" customHeight="1">
      <c r="C94" s="193" t="s">
        <v>24</v>
      </c>
      <c r="D94" s="193"/>
      <c r="E94" s="193" t="s">
        <v>25</v>
      </c>
      <c r="F94" s="193" t="s">
        <v>26</v>
      </c>
      <c r="G94" s="193" t="s">
        <v>27</v>
      </c>
      <c r="H94" s="193" t="s">
        <v>28</v>
      </c>
      <c r="I94" s="193"/>
      <c r="J94" s="194"/>
      <c r="K94" s="194"/>
      <c r="L94" s="194"/>
      <c r="M94" s="194"/>
      <c r="N94" s="194"/>
      <c r="O94" s="194"/>
      <c r="P94" s="194"/>
      <c r="Q94" s="194"/>
      <c r="R94" s="194"/>
      <c r="S94" s="194"/>
    </row>
    <row r="95" spans="1:19" s="184" customFormat="1" ht="24.95" customHeight="1">
      <c r="A95" s="430" t="s">
        <v>185</v>
      </c>
      <c r="C95" s="438"/>
      <c r="D95" s="439"/>
      <c r="E95" s="401"/>
      <c r="F95" s="401"/>
      <c r="G95" s="195"/>
      <c r="H95" s="401"/>
      <c r="I95" s="100" t="s">
        <v>40</v>
      </c>
      <c r="K95" s="196" t="s">
        <v>186</v>
      </c>
      <c r="L95" s="100"/>
      <c r="M95" s="196" t="s">
        <v>187</v>
      </c>
      <c r="N95" s="100"/>
      <c r="O95" s="196" t="s">
        <v>188</v>
      </c>
      <c r="P95" s="100"/>
      <c r="Q95" s="196" t="s">
        <v>189</v>
      </c>
      <c r="R95" s="100"/>
      <c r="S95" s="196" t="s">
        <v>190</v>
      </c>
    </row>
    <row r="96" spans="1:19" s="184" customFormat="1" ht="6" customHeight="1">
      <c r="A96" s="431"/>
      <c r="C96" s="197"/>
      <c r="D96" s="197"/>
      <c r="E96" s="191"/>
      <c r="F96" s="191"/>
      <c r="G96" s="191"/>
      <c r="H96" s="191"/>
      <c r="I96" s="100"/>
      <c r="K96" s="100"/>
      <c r="L96" s="100"/>
      <c r="M96" s="100"/>
      <c r="N96" s="100"/>
      <c r="O96" s="100"/>
      <c r="P96" s="100"/>
      <c r="Q96" s="100"/>
      <c r="R96" s="100"/>
      <c r="S96" s="100"/>
    </row>
    <row r="97" spans="1:22" s="184" customFormat="1" ht="24.95" customHeight="1">
      <c r="A97" s="431"/>
      <c r="C97" s="432"/>
      <c r="D97" s="432"/>
      <c r="E97" s="401"/>
      <c r="F97" s="198"/>
      <c r="G97" s="195"/>
      <c r="H97" s="401"/>
      <c r="I97" s="100" t="s">
        <v>191</v>
      </c>
      <c r="K97" s="196" t="s">
        <v>192</v>
      </c>
      <c r="L97" s="100"/>
      <c r="M97" s="196" t="s">
        <v>193</v>
      </c>
      <c r="N97" s="100"/>
      <c r="O97" s="196" t="s">
        <v>194</v>
      </c>
      <c r="P97" s="100"/>
      <c r="Q97" s="196" t="s">
        <v>195</v>
      </c>
      <c r="R97" s="100"/>
      <c r="S97" s="196" t="s">
        <v>196</v>
      </c>
    </row>
    <row r="98" spans="1:22" s="184" customFormat="1" ht="6" customHeight="1">
      <c r="A98" s="431"/>
      <c r="C98" s="197"/>
      <c r="D98" s="197"/>
      <c r="E98" s="191"/>
      <c r="F98" s="191"/>
      <c r="G98" s="191"/>
      <c r="H98" s="191"/>
      <c r="I98" s="100"/>
      <c r="K98" s="100"/>
      <c r="L98" s="100"/>
      <c r="M98" s="100"/>
      <c r="N98" s="100"/>
      <c r="O98" s="100"/>
      <c r="P98" s="100"/>
      <c r="Q98" s="100"/>
      <c r="R98" s="100"/>
      <c r="S98" s="100"/>
    </row>
    <row r="99" spans="1:22" s="184" customFormat="1" ht="24.95" customHeight="1">
      <c r="A99" s="431"/>
      <c r="C99" s="432"/>
      <c r="D99" s="432"/>
      <c r="E99" s="401"/>
      <c r="F99" s="198"/>
      <c r="G99" s="195"/>
      <c r="H99" s="401"/>
      <c r="I99" s="100" t="s">
        <v>197</v>
      </c>
      <c r="K99" s="196" t="s">
        <v>198</v>
      </c>
      <c r="L99" s="100"/>
      <c r="M99" s="196" t="s">
        <v>199</v>
      </c>
      <c r="N99" s="100"/>
      <c r="O99" s="196" t="s">
        <v>200</v>
      </c>
      <c r="P99" s="100"/>
      <c r="Q99" s="196" t="s">
        <v>201</v>
      </c>
      <c r="R99" s="100"/>
      <c r="S99" s="196" t="s">
        <v>202</v>
      </c>
    </row>
    <row r="100" spans="1:22" s="184" customFormat="1" ht="12" customHeight="1">
      <c r="C100" s="202" t="s">
        <v>24</v>
      </c>
      <c r="D100" s="202"/>
      <c r="E100" s="202" t="s">
        <v>25</v>
      </c>
      <c r="F100" s="202" t="s">
        <v>26</v>
      </c>
      <c r="G100" s="202" t="s">
        <v>27</v>
      </c>
      <c r="H100" s="202" t="s">
        <v>28</v>
      </c>
      <c r="I100" s="193"/>
      <c r="J100" s="194"/>
      <c r="K100" s="199"/>
      <c r="L100" s="199"/>
      <c r="M100" s="199"/>
      <c r="N100" s="199"/>
      <c r="O100" s="199"/>
      <c r="P100" s="199"/>
      <c r="Q100" s="199"/>
      <c r="R100" s="199"/>
      <c r="S100" s="199"/>
    </row>
    <row r="101" spans="1:22" s="184" customFormat="1" ht="24.95" customHeight="1">
      <c r="A101" s="430" t="s">
        <v>203</v>
      </c>
      <c r="C101" s="432"/>
      <c r="D101" s="432"/>
      <c r="E101" s="401"/>
      <c r="F101" s="401"/>
      <c r="G101" s="195"/>
      <c r="H101" s="401"/>
      <c r="I101" s="100" t="s">
        <v>40</v>
      </c>
      <c r="K101" s="196" t="s">
        <v>186</v>
      </c>
      <c r="L101" s="100"/>
      <c r="M101" s="196" t="s">
        <v>187</v>
      </c>
      <c r="N101" s="100"/>
      <c r="O101" s="196" t="s">
        <v>188</v>
      </c>
      <c r="P101" s="100"/>
      <c r="Q101" s="196" t="s">
        <v>189</v>
      </c>
      <c r="R101" s="100"/>
      <c r="S101" s="196" t="s">
        <v>190</v>
      </c>
    </row>
    <row r="102" spans="1:22" s="184" customFormat="1" ht="6" customHeight="1">
      <c r="A102" s="431"/>
      <c r="C102" s="197"/>
      <c r="D102" s="197"/>
      <c r="E102" s="191"/>
      <c r="F102" s="191"/>
      <c r="G102" s="191"/>
      <c r="H102" s="191"/>
      <c r="I102" s="100"/>
      <c r="K102" s="100"/>
      <c r="L102" s="100"/>
      <c r="M102" s="100"/>
      <c r="N102" s="100"/>
      <c r="O102" s="100"/>
      <c r="P102" s="100"/>
      <c r="Q102" s="100"/>
      <c r="R102" s="100"/>
      <c r="S102" s="100"/>
    </row>
    <row r="103" spans="1:22" s="184" customFormat="1" ht="24.95" customHeight="1">
      <c r="A103" s="431"/>
      <c r="C103" s="432"/>
      <c r="D103" s="432"/>
      <c r="E103" s="401"/>
      <c r="F103" s="198"/>
      <c r="G103" s="195"/>
      <c r="H103" s="401"/>
      <c r="I103" s="100" t="s">
        <v>191</v>
      </c>
      <c r="K103" s="196" t="s">
        <v>192</v>
      </c>
      <c r="L103" s="100"/>
      <c r="M103" s="196" t="s">
        <v>193</v>
      </c>
      <c r="N103" s="100"/>
      <c r="O103" s="196" t="s">
        <v>194</v>
      </c>
      <c r="P103" s="100"/>
      <c r="Q103" s="196" t="s">
        <v>195</v>
      </c>
      <c r="R103" s="100"/>
      <c r="S103" s="196" t="s">
        <v>196</v>
      </c>
    </row>
    <row r="104" spans="1:22" s="184" customFormat="1" ht="6.75" customHeight="1">
      <c r="A104" s="431"/>
      <c r="C104" s="197"/>
      <c r="D104" s="197"/>
      <c r="E104" s="191"/>
      <c r="F104" s="191"/>
      <c r="G104" s="191"/>
      <c r="H104" s="191"/>
      <c r="I104" s="100"/>
      <c r="K104" s="100"/>
      <c r="L104" s="100"/>
      <c r="M104" s="100"/>
      <c r="N104" s="100"/>
      <c r="O104" s="100"/>
      <c r="P104" s="100"/>
      <c r="Q104" s="100"/>
      <c r="R104" s="100"/>
      <c r="S104" s="100"/>
    </row>
    <row r="105" spans="1:22" s="184" customFormat="1" ht="24.75" customHeight="1">
      <c r="A105" s="431"/>
      <c r="C105" s="432"/>
      <c r="D105" s="432"/>
      <c r="E105" s="401"/>
      <c r="F105" s="198"/>
      <c r="G105" s="195"/>
      <c r="H105" s="401"/>
      <c r="I105" s="100" t="s">
        <v>197</v>
      </c>
      <c r="K105" s="196" t="s">
        <v>198</v>
      </c>
      <c r="L105" s="100"/>
      <c r="M105" s="196" t="s">
        <v>199</v>
      </c>
      <c r="N105" s="100"/>
      <c r="O105" s="196" t="s">
        <v>200</v>
      </c>
      <c r="P105" s="100"/>
      <c r="Q105" s="196" t="s">
        <v>201</v>
      </c>
      <c r="R105" s="100"/>
      <c r="S105" s="196" t="s">
        <v>202</v>
      </c>
    </row>
    <row r="106" spans="1:22" s="97" customFormat="1" ht="30" hidden="1" customHeight="1" thickBot="1">
      <c r="A106" s="224"/>
      <c r="B106" s="224"/>
      <c r="C106" s="224"/>
      <c r="D106" s="224"/>
      <c r="E106" s="224"/>
      <c r="F106" s="224"/>
      <c r="G106" s="224"/>
      <c r="H106" s="224"/>
      <c r="I106" s="224"/>
      <c r="J106" s="225"/>
      <c r="K106" s="226"/>
      <c r="M106" s="98"/>
      <c r="O106" s="98"/>
      <c r="Q106" s="98"/>
      <c r="S106" s="98"/>
    </row>
    <row r="107" spans="1:22" s="97" customFormat="1" ht="15.75" hidden="1" customHeight="1" thickBot="1">
      <c r="C107" s="99"/>
      <c r="D107" s="99"/>
      <c r="E107" s="99"/>
      <c r="F107" s="99"/>
      <c r="G107" s="99"/>
      <c r="H107" s="99"/>
      <c r="I107" s="99"/>
      <c r="K107" s="98" t="s">
        <v>215</v>
      </c>
      <c r="M107" s="98" t="s">
        <v>216</v>
      </c>
      <c r="O107" s="98" t="s">
        <v>217</v>
      </c>
      <c r="Q107" s="98" t="s">
        <v>218</v>
      </c>
      <c r="S107" s="376" t="s">
        <v>219</v>
      </c>
      <c r="U107" s="374" t="s">
        <v>220</v>
      </c>
    </row>
    <row r="108" spans="1:22" s="97" customFormat="1" ht="15.95" hidden="1" thickBot="1">
      <c r="M108" s="98"/>
      <c r="O108" s="98"/>
      <c r="Q108" s="98"/>
      <c r="S108" s="377">
        <v>1.042</v>
      </c>
      <c r="U108" s="375">
        <v>5919</v>
      </c>
      <c r="V108" s="384" t="s">
        <v>221</v>
      </c>
    </row>
    <row r="109" spans="1:22" s="97" customFormat="1" ht="15.95" hidden="1" thickBot="1">
      <c r="I109" s="100" t="s">
        <v>222</v>
      </c>
      <c r="J109" s="5"/>
      <c r="M109" s="98"/>
      <c r="O109" s="98"/>
      <c r="Q109" s="98"/>
      <c r="S109" s="210" t="s">
        <v>223</v>
      </c>
      <c r="U109" s="375">
        <v>7576</v>
      </c>
      <c r="V109" s="384" t="s">
        <v>224</v>
      </c>
    </row>
    <row r="110" spans="1:22" s="97" customFormat="1" ht="15.95" hidden="1" thickBot="1">
      <c r="C110" s="96"/>
      <c r="D110" s="96"/>
      <c r="E110" s="96"/>
      <c r="F110" s="96"/>
      <c r="G110" s="96"/>
      <c r="H110" s="96"/>
      <c r="I110" s="100"/>
      <c r="J110" s="5"/>
      <c r="M110" s="98"/>
      <c r="O110" s="98"/>
      <c r="Q110" s="98"/>
      <c r="R110" s="210"/>
      <c r="S110" s="210" t="s">
        <v>180</v>
      </c>
      <c r="U110" s="375">
        <v>7576</v>
      </c>
      <c r="V110" s="384" t="s">
        <v>225</v>
      </c>
    </row>
    <row r="111" spans="1:22" s="97" customFormat="1" ht="12.75" hidden="1" customHeight="1" thickBot="1">
      <c r="C111" s="99"/>
      <c r="D111" s="99"/>
      <c r="E111" s="99"/>
      <c r="F111" s="99"/>
      <c r="G111" s="99"/>
      <c r="H111" s="99"/>
      <c r="I111" s="99" t="s">
        <v>226</v>
      </c>
      <c r="J111" s="212"/>
      <c r="K111" s="213">
        <f>(0.375*U108)+V123</f>
        <v>2405.625</v>
      </c>
      <c r="L111" s="212"/>
      <c r="M111" s="213">
        <f>(0.75*U108)+V123</f>
        <v>4625.25</v>
      </c>
      <c r="N111" s="212"/>
      <c r="O111" s="213">
        <f>(0.5*U108)+V123</f>
        <v>3145.5</v>
      </c>
      <c r="P111" s="212"/>
      <c r="Q111" s="213">
        <f>U108+V123</f>
        <v>6105</v>
      </c>
      <c r="S111" s="98"/>
      <c r="U111" s="375">
        <v>6934</v>
      </c>
      <c r="V111" s="385" t="s">
        <v>227</v>
      </c>
    </row>
    <row r="112" spans="1:22" s="97" customFormat="1" ht="12.75" hidden="1" customHeight="1" thickBot="1">
      <c r="H112" s="184"/>
      <c r="I112" s="184" t="s">
        <v>192</v>
      </c>
      <c r="J112" s="212"/>
      <c r="K112" s="370">
        <f>K111*$S$108</f>
        <v>2506.6612500000001</v>
      </c>
      <c r="L112" s="370"/>
      <c r="M112" s="370">
        <f>M111*$S$108</f>
        <v>4819.5105000000003</v>
      </c>
      <c r="N112" s="370"/>
      <c r="O112" s="370">
        <f>O111*$S$108</f>
        <v>3277.6110000000003</v>
      </c>
      <c r="P112" s="370"/>
      <c r="Q112" s="370">
        <f>Q111*$S$108</f>
        <v>6361.41</v>
      </c>
      <c r="S112" s="98"/>
      <c r="U112" s="375">
        <v>6934</v>
      </c>
      <c r="V112" s="385" t="s">
        <v>228</v>
      </c>
    </row>
    <row r="113" spans="3:26" s="97" customFormat="1" ht="12.75" hidden="1" customHeight="1" thickBot="1">
      <c r="C113" s="99"/>
      <c r="D113" s="99"/>
      <c r="E113" s="99"/>
      <c r="F113" s="99"/>
      <c r="G113" s="99"/>
      <c r="H113" s="99"/>
      <c r="I113" s="99" t="s">
        <v>193</v>
      </c>
      <c r="J113" s="212"/>
      <c r="K113" s="370">
        <f t="shared" ref="K113:K118" si="0">K112*$S$108</f>
        <v>2611.9410225000001</v>
      </c>
      <c r="L113" s="222"/>
      <c r="M113" s="370">
        <f t="shared" ref="M113:M118" si="1">M112*$S$108</f>
        <v>5021.9299410000003</v>
      </c>
      <c r="N113" s="222"/>
      <c r="O113" s="370">
        <f t="shared" ref="O113:O118" si="2">O112*$S$108</f>
        <v>3415.2706620000004</v>
      </c>
      <c r="P113" s="222"/>
      <c r="Q113" s="370">
        <f t="shared" ref="Q113:Q118" si="3">Q112*$S$108</f>
        <v>6628.5892199999998</v>
      </c>
      <c r="S113" s="98"/>
      <c r="U113" s="373"/>
      <c r="V113" s="372"/>
    </row>
    <row r="114" spans="3:26" s="97" customFormat="1" ht="12.75" hidden="1" customHeight="1" thickBot="1">
      <c r="C114" s="99"/>
      <c r="D114" s="99"/>
      <c r="E114" s="99"/>
      <c r="F114" s="99"/>
      <c r="G114" s="99"/>
      <c r="H114" s="99"/>
      <c r="I114" s="99" t="s">
        <v>194</v>
      </c>
      <c r="J114" s="212"/>
      <c r="K114" s="370">
        <f t="shared" si="0"/>
        <v>2721.6425454450005</v>
      </c>
      <c r="L114" s="222"/>
      <c r="M114" s="370">
        <f t="shared" si="1"/>
        <v>5232.8509985220007</v>
      </c>
      <c r="N114" s="222"/>
      <c r="O114" s="370">
        <f t="shared" si="2"/>
        <v>3558.7120298040004</v>
      </c>
      <c r="P114" s="222"/>
      <c r="Q114" s="370">
        <f t="shared" si="3"/>
        <v>6906.9899672399997</v>
      </c>
      <c r="S114" s="98"/>
      <c r="U114" s="374" t="s">
        <v>229</v>
      </c>
      <c r="V114" s="372"/>
    </row>
    <row r="115" spans="3:26" s="97" customFormat="1" ht="12.75" hidden="1" customHeight="1" thickBot="1">
      <c r="C115" s="99"/>
      <c r="D115" s="99"/>
      <c r="E115" s="99"/>
      <c r="F115" s="99"/>
      <c r="G115" s="99"/>
      <c r="H115" s="184"/>
      <c r="I115" s="184" t="s">
        <v>195</v>
      </c>
      <c r="J115" s="212"/>
      <c r="K115" s="370">
        <f t="shared" si="0"/>
        <v>2835.9515323536907</v>
      </c>
      <c r="L115" s="222"/>
      <c r="M115" s="370">
        <f t="shared" si="1"/>
        <v>5452.6307404599247</v>
      </c>
      <c r="N115" s="222"/>
      <c r="O115" s="370">
        <f t="shared" si="2"/>
        <v>3708.1779350557686</v>
      </c>
      <c r="P115" s="222"/>
      <c r="Q115" s="370">
        <f t="shared" si="3"/>
        <v>7197.0835458640804</v>
      </c>
      <c r="S115" s="98"/>
      <c r="U115" s="375">
        <v>3290</v>
      </c>
      <c r="V115" s="384" t="s">
        <v>221</v>
      </c>
    </row>
    <row r="116" spans="3:26" s="97" customFormat="1" ht="12.75" hidden="1" customHeight="1" thickBot="1">
      <c r="C116" s="99"/>
      <c r="D116" s="99"/>
      <c r="E116" s="99"/>
      <c r="F116" s="99"/>
      <c r="G116" s="99"/>
      <c r="H116" s="99"/>
      <c r="I116" s="99" t="s">
        <v>196</v>
      </c>
      <c r="J116" s="212"/>
      <c r="K116" s="370">
        <f t="shared" si="0"/>
        <v>2955.0614967125457</v>
      </c>
      <c r="L116" s="222"/>
      <c r="M116" s="370">
        <f t="shared" si="1"/>
        <v>5681.6412315592415</v>
      </c>
      <c r="N116" s="222"/>
      <c r="O116" s="370">
        <f t="shared" si="2"/>
        <v>3863.9214083281108</v>
      </c>
      <c r="P116" s="222"/>
      <c r="Q116" s="370">
        <f t="shared" si="3"/>
        <v>7499.3610547903718</v>
      </c>
      <c r="S116" s="98"/>
      <c r="U116" s="375">
        <v>4220</v>
      </c>
      <c r="V116" s="384" t="s">
        <v>224</v>
      </c>
    </row>
    <row r="117" spans="3:26" s="97" customFormat="1" ht="12.75" hidden="1" customHeight="1" thickBot="1">
      <c r="C117" s="99"/>
      <c r="D117" s="99"/>
      <c r="E117" s="99"/>
      <c r="F117" s="99"/>
      <c r="G117" s="99"/>
      <c r="H117" s="99"/>
      <c r="I117" s="99" t="s">
        <v>230</v>
      </c>
      <c r="J117" s="212"/>
      <c r="K117" s="370">
        <f t="shared" si="0"/>
        <v>3079.1740795744727</v>
      </c>
      <c r="L117" s="222"/>
      <c r="M117" s="370">
        <f t="shared" si="1"/>
        <v>5920.2701632847302</v>
      </c>
      <c r="N117" s="222"/>
      <c r="O117" s="370">
        <f t="shared" si="2"/>
        <v>4026.2061074778917</v>
      </c>
      <c r="P117" s="222"/>
      <c r="Q117" s="370">
        <f t="shared" si="3"/>
        <v>7814.3342190915673</v>
      </c>
      <c r="S117" s="98"/>
      <c r="U117" s="375">
        <v>4220</v>
      </c>
      <c r="V117" s="384" t="s">
        <v>225</v>
      </c>
    </row>
    <row r="118" spans="3:26" s="97" customFormat="1" ht="12.75" hidden="1" customHeight="1" thickBot="1">
      <c r="C118" s="99"/>
      <c r="D118" s="99"/>
      <c r="E118" s="99"/>
      <c r="F118" s="99"/>
      <c r="G118" s="99"/>
      <c r="H118" s="184"/>
      <c r="I118" s="184" t="s">
        <v>231</v>
      </c>
      <c r="J118" s="212"/>
      <c r="K118" s="370">
        <f t="shared" si="0"/>
        <v>3208.4993909166005</v>
      </c>
      <c r="L118" s="222"/>
      <c r="M118" s="370">
        <f t="shared" si="1"/>
        <v>6168.9215101426889</v>
      </c>
      <c r="N118" s="222"/>
      <c r="O118" s="370">
        <f t="shared" si="2"/>
        <v>4195.3067639919636</v>
      </c>
      <c r="P118" s="222"/>
      <c r="Q118" s="370">
        <f t="shared" si="3"/>
        <v>8142.5362562934133</v>
      </c>
      <c r="S118" s="98"/>
      <c r="U118" s="375">
        <v>3860</v>
      </c>
      <c r="V118" s="385" t="s">
        <v>227</v>
      </c>
    </row>
    <row r="119" spans="3:26" s="97" customFormat="1" ht="12.75" hidden="1" customHeight="1" thickBot="1">
      <c r="C119" s="99"/>
      <c r="D119" s="99"/>
      <c r="E119" s="99"/>
      <c r="F119" s="99"/>
      <c r="G119" s="99"/>
      <c r="H119" s="99"/>
      <c r="I119" s="369"/>
      <c r="J119" s="215"/>
      <c r="K119" s="216"/>
      <c r="L119" s="212"/>
      <c r="M119" s="216"/>
      <c r="N119" s="212"/>
      <c r="O119" s="216"/>
      <c r="P119" s="212"/>
      <c r="Q119" s="216"/>
      <c r="S119" s="98"/>
      <c r="U119" s="375">
        <v>3860</v>
      </c>
      <c r="V119" s="385" t="s">
        <v>228</v>
      </c>
    </row>
    <row r="120" spans="3:26" s="97" customFormat="1" ht="12.75" hidden="1" customHeight="1" thickBot="1">
      <c r="C120" s="99"/>
      <c r="D120" s="99"/>
      <c r="E120" s="99"/>
      <c r="F120" s="99"/>
      <c r="G120" s="99"/>
      <c r="H120" s="99"/>
      <c r="I120" s="99" t="s">
        <v>198</v>
      </c>
      <c r="J120" s="215"/>
      <c r="K120" s="217">
        <f>(0.375*U108)+V123</f>
        <v>2405.625</v>
      </c>
      <c r="L120" s="212"/>
      <c r="M120" s="217">
        <f>(0.75*U108)+V123</f>
        <v>4625.25</v>
      </c>
      <c r="N120" s="212"/>
      <c r="O120" s="217">
        <f>(0.5*U108)+V123</f>
        <v>3145.5</v>
      </c>
      <c r="P120" s="212"/>
      <c r="Q120" s="217">
        <f>U108+V123</f>
        <v>6105</v>
      </c>
      <c r="S120" s="98"/>
      <c r="U120" s="371"/>
      <c r="V120" s="372"/>
    </row>
    <row r="121" spans="3:26" s="97" customFormat="1" ht="12.75" hidden="1" customHeight="1">
      <c r="H121" s="184"/>
      <c r="I121" s="184" t="s">
        <v>199</v>
      </c>
      <c r="J121" s="212"/>
      <c r="K121" s="370">
        <f>K120*$S$108</f>
        <v>2506.6612500000001</v>
      </c>
      <c r="L121" s="370"/>
      <c r="M121" s="370">
        <f>M120*$S$108</f>
        <v>4819.5105000000003</v>
      </c>
      <c r="N121" s="370"/>
      <c r="O121" s="370">
        <f>O120*$S$108</f>
        <v>3277.6110000000003</v>
      </c>
      <c r="P121" s="370"/>
      <c r="Q121" s="370">
        <f>Q120*$S$108</f>
        <v>6361.41</v>
      </c>
      <c r="S121" s="98"/>
      <c r="U121" s="427" t="s">
        <v>232</v>
      </c>
      <c r="V121" s="428"/>
      <c r="W121" s="429"/>
    </row>
    <row r="122" spans="3:26" s="97" customFormat="1" ht="12.75" hidden="1" customHeight="1" thickBot="1">
      <c r="C122" s="99"/>
      <c r="D122" s="95"/>
      <c r="E122" s="99"/>
      <c r="F122" s="99"/>
      <c r="G122" s="99"/>
      <c r="H122" s="99"/>
      <c r="I122" s="99" t="s">
        <v>200</v>
      </c>
      <c r="J122" s="212"/>
      <c r="K122" s="370">
        <f t="shared" ref="K122:K127" si="4">K121*$S$108</f>
        <v>2611.9410225000001</v>
      </c>
      <c r="L122" s="222"/>
      <c r="M122" s="370">
        <f t="shared" ref="M122:M127" si="5">M121*$S$108</f>
        <v>5021.9299410000003</v>
      </c>
      <c r="N122" s="222"/>
      <c r="O122" s="370">
        <f t="shared" ref="O122:O127" si="6">O121*$S$108</f>
        <v>3415.2706620000004</v>
      </c>
      <c r="P122" s="222"/>
      <c r="Q122" s="370">
        <f t="shared" ref="Q122:Q127" si="7">Q121*$S$108</f>
        <v>6628.5892199999998</v>
      </c>
      <c r="S122" s="98"/>
      <c r="U122" s="378" t="s">
        <v>233</v>
      </c>
      <c r="V122" s="379" t="s">
        <v>234</v>
      </c>
      <c r="W122" s="380" t="s">
        <v>40</v>
      </c>
    </row>
    <row r="123" spans="3:26" s="97" customFormat="1" ht="12.75" hidden="1" customHeight="1" thickBot="1">
      <c r="H123" s="99"/>
      <c r="I123" s="99" t="s">
        <v>201</v>
      </c>
      <c r="J123" s="212"/>
      <c r="K123" s="370">
        <f t="shared" si="4"/>
        <v>2721.6425454450005</v>
      </c>
      <c r="L123" s="222"/>
      <c r="M123" s="370">
        <f t="shared" si="5"/>
        <v>5232.8509985220007</v>
      </c>
      <c r="N123" s="222"/>
      <c r="O123" s="370">
        <f t="shared" si="6"/>
        <v>3558.7120298040004</v>
      </c>
      <c r="P123" s="222"/>
      <c r="Q123" s="370">
        <f t="shared" si="7"/>
        <v>6906.9899672399997</v>
      </c>
      <c r="S123" s="98"/>
      <c r="U123" s="381" t="s">
        <v>235</v>
      </c>
      <c r="V123" s="382">
        <v>186</v>
      </c>
      <c r="W123" s="383">
        <v>93</v>
      </c>
      <c r="X123" s="97" t="s">
        <v>236</v>
      </c>
      <c r="Y123" s="97" t="s">
        <v>237</v>
      </c>
      <c r="Z123" s="97" t="s">
        <v>238</v>
      </c>
    </row>
    <row r="124" spans="3:26" s="97" customFormat="1" ht="12.75" hidden="1" customHeight="1" thickBot="1">
      <c r="H124" s="184"/>
      <c r="I124" s="184" t="s">
        <v>202</v>
      </c>
      <c r="J124" s="212"/>
      <c r="K124" s="370">
        <f t="shared" si="4"/>
        <v>2835.9515323536907</v>
      </c>
      <c r="L124" s="222"/>
      <c r="M124" s="370">
        <f t="shared" si="5"/>
        <v>5452.6307404599247</v>
      </c>
      <c r="N124" s="222"/>
      <c r="O124" s="370">
        <f t="shared" si="6"/>
        <v>3708.1779350557686</v>
      </c>
      <c r="P124" s="222"/>
      <c r="Q124" s="370">
        <f t="shared" si="7"/>
        <v>7197.0835458640804</v>
      </c>
      <c r="S124" s="98"/>
      <c r="U124" s="381" t="s">
        <v>239</v>
      </c>
      <c r="V124" s="382">
        <f>V123*$S$108</f>
        <v>193.81200000000001</v>
      </c>
      <c r="W124" s="383">
        <f>W123*$S$108</f>
        <v>96.906000000000006</v>
      </c>
      <c r="X124" s="97" t="s">
        <v>240</v>
      </c>
      <c r="Y124" s="97" t="s">
        <v>241</v>
      </c>
      <c r="Z124" s="97" t="s">
        <v>242</v>
      </c>
    </row>
    <row r="125" spans="3:26" s="97" customFormat="1" ht="12.75" hidden="1" customHeight="1" thickBot="1">
      <c r="H125" s="99"/>
      <c r="I125" s="99" t="s">
        <v>209</v>
      </c>
      <c r="J125" s="212"/>
      <c r="K125" s="370">
        <f t="shared" si="4"/>
        <v>2955.0614967125457</v>
      </c>
      <c r="L125" s="222"/>
      <c r="M125" s="370">
        <f t="shared" si="5"/>
        <v>5681.6412315592415</v>
      </c>
      <c r="N125" s="222"/>
      <c r="O125" s="370">
        <f t="shared" si="6"/>
        <v>3863.9214083281108</v>
      </c>
      <c r="P125" s="222"/>
      <c r="Q125" s="370">
        <f t="shared" si="7"/>
        <v>7499.3610547903718</v>
      </c>
      <c r="S125" s="98"/>
      <c r="U125" s="381" t="s">
        <v>243</v>
      </c>
      <c r="V125" s="382">
        <f>V124*$S$108</f>
        <v>201.95210400000002</v>
      </c>
      <c r="W125" s="383">
        <f t="shared" ref="W125:W132" si="8">W124*$S$108</f>
        <v>100.97605200000001</v>
      </c>
      <c r="X125" s="97" t="s">
        <v>244</v>
      </c>
      <c r="Y125" s="97" t="s">
        <v>245</v>
      </c>
      <c r="Z125" s="97" t="s">
        <v>246</v>
      </c>
    </row>
    <row r="126" spans="3:26" s="97" customFormat="1" ht="12.75" hidden="1" customHeight="1" thickBot="1">
      <c r="H126" s="99"/>
      <c r="I126" s="99" t="s">
        <v>247</v>
      </c>
      <c r="J126" s="212"/>
      <c r="K126" s="370">
        <f t="shared" si="4"/>
        <v>3079.1740795744727</v>
      </c>
      <c r="L126" s="222"/>
      <c r="M126" s="370">
        <f t="shared" si="5"/>
        <v>5920.2701632847302</v>
      </c>
      <c r="N126" s="222"/>
      <c r="O126" s="370">
        <f t="shared" si="6"/>
        <v>4026.2061074778917</v>
      </c>
      <c r="P126" s="222"/>
      <c r="Q126" s="370">
        <f t="shared" si="7"/>
        <v>7814.3342190915673</v>
      </c>
      <c r="S126" s="98"/>
      <c r="U126" s="381" t="s">
        <v>248</v>
      </c>
      <c r="V126" s="382">
        <f t="shared" ref="V126:V132" si="9">V125*$S$108</f>
        <v>210.43409236800002</v>
      </c>
      <c r="W126" s="383">
        <f t="shared" si="8"/>
        <v>105.21704618400001</v>
      </c>
      <c r="X126" s="97" t="s">
        <v>249</v>
      </c>
      <c r="Y126" s="97" t="s">
        <v>250</v>
      </c>
      <c r="Z126" s="97" t="s">
        <v>251</v>
      </c>
    </row>
    <row r="127" spans="3:26" s="97" customFormat="1" ht="12.75" hidden="1" customHeight="1" thickBot="1">
      <c r="H127" s="184"/>
      <c r="I127" s="184" t="s">
        <v>252</v>
      </c>
      <c r="J127" s="212"/>
      <c r="K127" s="370">
        <f t="shared" si="4"/>
        <v>3208.4993909166005</v>
      </c>
      <c r="L127" s="222"/>
      <c r="M127" s="370">
        <f t="shared" si="5"/>
        <v>6168.9215101426889</v>
      </c>
      <c r="N127" s="222"/>
      <c r="O127" s="370">
        <f t="shared" si="6"/>
        <v>4195.3067639919636</v>
      </c>
      <c r="P127" s="222"/>
      <c r="Q127" s="370">
        <f t="shared" si="7"/>
        <v>8142.5362562934133</v>
      </c>
      <c r="S127" s="98"/>
      <c r="U127" s="381" t="s">
        <v>253</v>
      </c>
      <c r="V127" s="382">
        <f t="shared" si="9"/>
        <v>219.27232424745603</v>
      </c>
      <c r="W127" s="383">
        <f t="shared" si="8"/>
        <v>109.63616212372801</v>
      </c>
      <c r="X127" s="97" t="s">
        <v>254</v>
      </c>
      <c r="Y127" s="97" t="s">
        <v>255</v>
      </c>
      <c r="Z127" s="97" t="s">
        <v>256</v>
      </c>
    </row>
    <row r="128" spans="3:26" s="97" customFormat="1" ht="12.75" hidden="1" customHeight="1" thickBot="1">
      <c r="H128" s="184"/>
      <c r="I128" s="369"/>
      <c r="J128" s="212"/>
      <c r="K128" s="216"/>
      <c r="L128" s="212"/>
      <c r="M128" s="216"/>
      <c r="N128" s="212"/>
      <c r="O128" s="216"/>
      <c r="P128" s="212"/>
      <c r="Q128" s="216"/>
      <c r="S128" s="98"/>
      <c r="U128" s="381" t="s">
        <v>257</v>
      </c>
      <c r="V128" s="382">
        <f t="shared" si="9"/>
        <v>228.48176186584919</v>
      </c>
      <c r="W128" s="383">
        <f t="shared" si="8"/>
        <v>114.2408809329246</v>
      </c>
      <c r="X128" s="97" t="s">
        <v>258</v>
      </c>
      <c r="Y128" s="97" t="s">
        <v>259</v>
      </c>
      <c r="Z128" s="97" t="s">
        <v>260</v>
      </c>
    </row>
    <row r="129" spans="8:26" s="5" customFormat="1" ht="12.75" hidden="1" customHeight="1" thickBot="1">
      <c r="H129" s="184"/>
      <c r="I129" s="184" t="s">
        <v>186</v>
      </c>
      <c r="J129" s="212"/>
      <c r="K129" s="218">
        <f>(0.375*U115)+W123</f>
        <v>1326.75</v>
      </c>
      <c r="L129" s="212"/>
      <c r="M129" s="218">
        <f>(0.75*U115)+W123</f>
        <v>2560.5</v>
      </c>
      <c r="N129" s="212"/>
      <c r="O129" s="218">
        <f>(0.5*U115)+W123</f>
        <v>1738</v>
      </c>
      <c r="P129" s="219"/>
      <c r="Q129" s="218">
        <f>U115+W123</f>
        <v>3383</v>
      </c>
      <c r="U129" s="381" t="s">
        <v>261</v>
      </c>
      <c r="V129" s="382">
        <f t="shared" si="9"/>
        <v>238.07799586421487</v>
      </c>
      <c r="W129" s="383">
        <f t="shared" si="8"/>
        <v>119.03899793210743</v>
      </c>
      <c r="X129" s="97" t="s">
        <v>262</v>
      </c>
      <c r="Y129" s="97" t="s">
        <v>263</v>
      </c>
      <c r="Z129" s="97" t="s">
        <v>264</v>
      </c>
    </row>
    <row r="130" spans="8:26" s="5" customFormat="1" ht="12.75" hidden="1" customHeight="1" thickBot="1">
      <c r="H130" s="184"/>
      <c r="I130" s="184" t="s">
        <v>187</v>
      </c>
      <c r="J130" s="212"/>
      <c r="K130" s="370">
        <f>K129*$S$108</f>
        <v>1382.4735000000001</v>
      </c>
      <c r="L130" s="222"/>
      <c r="M130" s="368">
        <f>M129*$S$108</f>
        <v>2668.0410000000002</v>
      </c>
      <c r="N130" s="222"/>
      <c r="O130" s="370">
        <f>O129*$S$108</f>
        <v>1810.9960000000001</v>
      </c>
      <c r="P130" s="223"/>
      <c r="Q130" s="370">
        <f>Q129*$S$108</f>
        <v>3525.0860000000002</v>
      </c>
      <c r="U130" s="381" t="s">
        <v>265</v>
      </c>
      <c r="V130" s="382">
        <f t="shared" si="9"/>
        <v>248.07727169051191</v>
      </c>
      <c r="W130" s="383">
        <f t="shared" si="8"/>
        <v>124.03863584525595</v>
      </c>
      <c r="X130" s="97" t="s">
        <v>266</v>
      </c>
      <c r="Y130" s="97" t="s">
        <v>267</v>
      </c>
      <c r="Z130" s="97" t="s">
        <v>268</v>
      </c>
    </row>
    <row r="131" spans="8:26" s="5" customFormat="1" ht="12.75" hidden="1" customHeight="1" thickBot="1">
      <c r="H131" s="184"/>
      <c r="I131" s="184" t="s">
        <v>188</v>
      </c>
      <c r="J131" s="212"/>
      <c r="K131" s="370">
        <f t="shared" ref="K131:K136" si="10">K130*$S$108</f>
        <v>1440.5373870000001</v>
      </c>
      <c r="L131" s="222"/>
      <c r="M131" s="368">
        <f t="shared" ref="M131:M136" si="11">M130*$S$108</f>
        <v>2780.0987220000002</v>
      </c>
      <c r="N131" s="222"/>
      <c r="O131" s="370">
        <f t="shared" ref="O131:O136" si="12">O130*$S$108</f>
        <v>1887.0578320000002</v>
      </c>
      <c r="P131" s="223"/>
      <c r="Q131" s="370">
        <f t="shared" ref="Q131:Q136" si="13">Q130*$S$108</f>
        <v>3673.1396120000004</v>
      </c>
      <c r="U131" s="381" t="s">
        <v>269</v>
      </c>
      <c r="V131" s="382">
        <f t="shared" si="9"/>
        <v>258.4965171015134</v>
      </c>
      <c r="W131" s="383">
        <f t="shared" si="8"/>
        <v>129.2482585507567</v>
      </c>
      <c r="X131" s="97" t="s">
        <v>270</v>
      </c>
      <c r="Y131" s="97" t="s">
        <v>271</v>
      </c>
      <c r="Z131" s="97" t="s">
        <v>272</v>
      </c>
    </row>
    <row r="132" spans="8:26" s="5" customFormat="1" ht="12.75" hidden="1" customHeight="1" thickBot="1">
      <c r="H132" s="184"/>
      <c r="I132" s="184" t="s">
        <v>189</v>
      </c>
      <c r="J132" s="212"/>
      <c r="K132" s="370">
        <f t="shared" si="10"/>
        <v>1501.0399572540002</v>
      </c>
      <c r="L132" s="222"/>
      <c r="M132" s="368">
        <f t="shared" si="11"/>
        <v>2896.8628683240004</v>
      </c>
      <c r="N132" s="222"/>
      <c r="O132" s="370">
        <f t="shared" si="12"/>
        <v>1966.3142609440004</v>
      </c>
      <c r="P132" s="223"/>
      <c r="Q132" s="370">
        <f t="shared" si="13"/>
        <v>3827.4114757040006</v>
      </c>
      <c r="U132" s="381" t="s">
        <v>273</v>
      </c>
      <c r="V132" s="382">
        <f t="shared" si="9"/>
        <v>269.35337081977696</v>
      </c>
      <c r="W132" s="383">
        <f t="shared" si="8"/>
        <v>134.67668540988848</v>
      </c>
      <c r="X132" s="97" t="s">
        <v>274</v>
      </c>
      <c r="Y132" s="97" t="s">
        <v>275</v>
      </c>
      <c r="Z132" s="97" t="s">
        <v>276</v>
      </c>
    </row>
    <row r="133" spans="8:26" s="5" customFormat="1" ht="12.75" hidden="1" customHeight="1">
      <c r="H133" s="184"/>
      <c r="I133" s="184" t="s">
        <v>190</v>
      </c>
      <c r="J133" s="212"/>
      <c r="K133" s="370">
        <f t="shared" si="10"/>
        <v>1564.0836354586684</v>
      </c>
      <c r="L133" s="222"/>
      <c r="M133" s="368">
        <f t="shared" si="11"/>
        <v>3018.5311087936084</v>
      </c>
      <c r="N133" s="222"/>
      <c r="O133" s="370">
        <f t="shared" si="12"/>
        <v>2048.8994599036482</v>
      </c>
      <c r="P133" s="223"/>
      <c r="Q133" s="370">
        <f t="shared" si="13"/>
        <v>3988.162757683569</v>
      </c>
    </row>
    <row r="134" spans="8:26" s="5" customFormat="1" ht="12.75" hidden="1" customHeight="1">
      <c r="H134" s="184"/>
      <c r="I134" s="184" t="s">
        <v>208</v>
      </c>
      <c r="J134" s="212"/>
      <c r="K134" s="370">
        <f t="shared" si="10"/>
        <v>1629.7751481479324</v>
      </c>
      <c r="L134" s="222"/>
      <c r="M134" s="368">
        <f t="shared" si="11"/>
        <v>3145.3094153629399</v>
      </c>
      <c r="N134" s="222"/>
      <c r="O134" s="370">
        <f t="shared" si="12"/>
        <v>2134.9532372196013</v>
      </c>
      <c r="P134" s="223"/>
      <c r="Q134" s="370">
        <f t="shared" si="13"/>
        <v>4155.665593506279</v>
      </c>
    </row>
    <row r="135" spans="8:26" s="5" customFormat="1" ht="12.75" hidden="1" customHeight="1">
      <c r="H135" s="184"/>
      <c r="I135" s="184" t="s">
        <v>277</v>
      </c>
      <c r="J135" s="212"/>
      <c r="K135" s="370">
        <f t="shared" si="10"/>
        <v>1698.2257043701456</v>
      </c>
      <c r="L135" s="222"/>
      <c r="M135" s="368">
        <f t="shared" si="11"/>
        <v>3277.4124108081837</v>
      </c>
      <c r="N135" s="222"/>
      <c r="O135" s="370">
        <f t="shared" si="12"/>
        <v>2224.6212731828246</v>
      </c>
      <c r="P135" s="223"/>
      <c r="Q135" s="370">
        <f t="shared" si="13"/>
        <v>4330.2035484335429</v>
      </c>
    </row>
    <row r="136" spans="8:26" s="5" customFormat="1" ht="12.75" hidden="1" customHeight="1">
      <c r="H136" s="184"/>
      <c r="I136" s="184" t="s">
        <v>278</v>
      </c>
      <c r="J136" s="212"/>
      <c r="K136" s="370">
        <f t="shared" si="10"/>
        <v>1769.5511839536919</v>
      </c>
      <c r="L136" s="222"/>
      <c r="M136" s="368">
        <f t="shared" si="11"/>
        <v>3415.0637320621277</v>
      </c>
      <c r="N136" s="222"/>
      <c r="O136" s="370">
        <f t="shared" si="12"/>
        <v>2318.0553666565033</v>
      </c>
      <c r="P136" s="223"/>
      <c r="Q136" s="370">
        <f t="shared" si="13"/>
        <v>4512.0720974677515</v>
      </c>
    </row>
    <row r="137" spans="8:26" s="5" customFormat="1" ht="12.75" hidden="1" customHeight="1">
      <c r="I137" s="212"/>
      <c r="J137" s="212"/>
      <c r="K137" s="216"/>
      <c r="L137" s="212"/>
      <c r="M137" s="216"/>
      <c r="N137" s="212"/>
      <c r="O137" s="216"/>
      <c r="P137" s="212"/>
      <c r="Q137" s="216"/>
    </row>
    <row r="138" spans="8:26" s="5" customFormat="1" ht="12.75" hidden="1" customHeight="1">
      <c r="I138" s="220" t="s">
        <v>279</v>
      </c>
      <c r="J138" s="220"/>
      <c r="K138" s="220"/>
      <c r="L138" s="220"/>
      <c r="M138" s="220"/>
      <c r="N138" s="220"/>
      <c r="O138" s="220"/>
      <c r="P138" s="220"/>
      <c r="Q138" s="220"/>
    </row>
    <row r="139" spans="8:26" s="5" customFormat="1" ht="12.75" hidden="1" customHeight="1">
      <c r="I139" s="215"/>
      <c r="J139" s="212"/>
      <c r="K139" s="216" t="s">
        <v>280</v>
      </c>
      <c r="L139" s="212"/>
      <c r="M139" s="216" t="s">
        <v>281</v>
      </c>
      <c r="N139" s="212"/>
      <c r="O139" s="216" t="s">
        <v>282</v>
      </c>
      <c r="P139" s="212"/>
      <c r="Q139" s="216" t="s">
        <v>283</v>
      </c>
    </row>
    <row r="140" spans="8:26" s="5" customFormat="1" ht="12.75" hidden="1" customHeight="1">
      <c r="I140" s="211"/>
      <c r="J140" s="212"/>
      <c r="K140" s="215"/>
      <c r="L140" s="215"/>
      <c r="M140" s="216"/>
      <c r="N140" s="212"/>
      <c r="O140" s="216"/>
      <c r="P140" s="212"/>
      <c r="Q140" s="216"/>
    </row>
    <row r="141" spans="8:26" s="5" customFormat="1" ht="12.75" hidden="1" customHeight="1">
      <c r="H141" s="184"/>
      <c r="I141" s="184" t="s">
        <v>226</v>
      </c>
      <c r="J141" s="215"/>
      <c r="K141" s="213">
        <f>(0.375*U110)+V123</f>
        <v>3027</v>
      </c>
      <c r="L141" s="212"/>
      <c r="M141" s="213">
        <f>(0.75*U110)+V123</f>
        <v>5868</v>
      </c>
      <c r="N141" s="212"/>
      <c r="O141" s="213">
        <f>(0.5*U110)+V123</f>
        <v>3974</v>
      </c>
      <c r="P141" s="212"/>
      <c r="Q141" s="213">
        <f>U110+V123</f>
        <v>7762</v>
      </c>
    </row>
    <row r="142" spans="8:26" s="5" customFormat="1" ht="12.75" hidden="1" customHeight="1">
      <c r="H142" s="184"/>
      <c r="I142" s="184" t="s">
        <v>192</v>
      </c>
      <c r="J142" s="215"/>
      <c r="K142" s="370">
        <f>K141*$S$108</f>
        <v>3154.134</v>
      </c>
      <c r="L142" s="222"/>
      <c r="M142" s="370">
        <f>M141*$S$108</f>
        <v>6114.4560000000001</v>
      </c>
      <c r="N142" s="222"/>
      <c r="O142" s="370">
        <f>O141*$S$108</f>
        <v>4140.9080000000004</v>
      </c>
      <c r="P142" s="222"/>
      <c r="Q142" s="370">
        <f>Q141*$S$108</f>
        <v>8088.0039999999999</v>
      </c>
    </row>
    <row r="143" spans="8:26" s="5" customFormat="1" ht="15.6" hidden="1">
      <c r="H143" s="184"/>
      <c r="I143" s="184" t="s">
        <v>193</v>
      </c>
      <c r="J143" s="215"/>
      <c r="K143" s="370">
        <f t="shared" ref="K143:K148" si="14">K142*$S$108</f>
        <v>3286.6076280000002</v>
      </c>
      <c r="L143" s="222"/>
      <c r="M143" s="370">
        <f t="shared" ref="M143:M148" si="15">M142*$S$108</f>
        <v>6371.2631520000004</v>
      </c>
      <c r="N143" s="222"/>
      <c r="O143" s="370">
        <f t="shared" ref="O143:O148" si="16">O142*$S$108</f>
        <v>4314.8261360000006</v>
      </c>
      <c r="P143" s="222"/>
      <c r="Q143" s="370">
        <f t="shared" ref="Q143:Q148" si="17">Q142*$S$108</f>
        <v>8427.7001679999994</v>
      </c>
    </row>
    <row r="144" spans="8:26" s="5" customFormat="1" ht="15.6" hidden="1">
      <c r="H144" s="184"/>
      <c r="I144" s="184" t="s">
        <v>194</v>
      </c>
      <c r="J144" s="215"/>
      <c r="K144" s="370">
        <f t="shared" si="14"/>
        <v>3424.6451483760002</v>
      </c>
      <c r="L144" s="222"/>
      <c r="M144" s="370">
        <f t="shared" si="15"/>
        <v>6638.8562043840011</v>
      </c>
      <c r="N144" s="222"/>
      <c r="O144" s="370">
        <f t="shared" si="16"/>
        <v>4496.0488337120005</v>
      </c>
      <c r="P144" s="222"/>
      <c r="Q144" s="370">
        <f t="shared" si="17"/>
        <v>8781.6635750559999</v>
      </c>
    </row>
    <row r="145" spans="8:17" s="5" customFormat="1" ht="15.6" hidden="1">
      <c r="H145" s="184"/>
      <c r="I145" s="184" t="s">
        <v>195</v>
      </c>
      <c r="J145" s="215"/>
      <c r="K145" s="370">
        <f t="shared" si="14"/>
        <v>3568.4802446077924</v>
      </c>
      <c r="L145" s="222"/>
      <c r="M145" s="370">
        <f t="shared" si="15"/>
        <v>6917.6881649681291</v>
      </c>
      <c r="N145" s="222"/>
      <c r="O145" s="370">
        <f t="shared" si="16"/>
        <v>4684.8828847279046</v>
      </c>
      <c r="P145" s="222"/>
      <c r="Q145" s="370">
        <f t="shared" si="17"/>
        <v>9150.4934452083526</v>
      </c>
    </row>
    <row r="146" spans="8:17" s="5" customFormat="1" ht="15.6" hidden="1">
      <c r="H146" s="184"/>
      <c r="I146" s="184" t="s">
        <v>196</v>
      </c>
      <c r="J146" s="215"/>
      <c r="K146" s="370">
        <f t="shared" si="14"/>
        <v>3718.3564148813198</v>
      </c>
      <c r="L146" s="222"/>
      <c r="M146" s="370">
        <f t="shared" si="15"/>
        <v>7208.2310678967906</v>
      </c>
      <c r="N146" s="222"/>
      <c r="O146" s="370">
        <f t="shared" si="16"/>
        <v>4881.6479658864764</v>
      </c>
      <c r="P146" s="222"/>
      <c r="Q146" s="370">
        <f t="shared" si="17"/>
        <v>9534.8141699071039</v>
      </c>
    </row>
    <row r="147" spans="8:17" s="5" customFormat="1" ht="15.6" hidden="1">
      <c r="H147" s="184"/>
      <c r="I147" s="184" t="s">
        <v>230</v>
      </c>
      <c r="J147" s="215"/>
      <c r="K147" s="370">
        <f t="shared" si="14"/>
        <v>3874.5273843063355</v>
      </c>
      <c r="L147" s="222"/>
      <c r="M147" s="370">
        <f t="shared" si="15"/>
        <v>7510.9767727484559</v>
      </c>
      <c r="N147" s="222"/>
      <c r="O147" s="370">
        <f t="shared" si="16"/>
        <v>5086.6771804537084</v>
      </c>
      <c r="P147" s="222"/>
      <c r="Q147" s="370">
        <f t="shared" si="17"/>
        <v>9935.2763650432025</v>
      </c>
    </row>
    <row r="148" spans="8:17" s="5" customFormat="1" ht="15.6" hidden="1">
      <c r="H148" s="184"/>
      <c r="I148" s="184" t="s">
        <v>231</v>
      </c>
      <c r="J148" s="215"/>
      <c r="K148" s="370">
        <f t="shared" si="14"/>
        <v>4037.2575344472016</v>
      </c>
      <c r="L148" s="222"/>
      <c r="M148" s="370">
        <f t="shared" si="15"/>
        <v>7826.437797203891</v>
      </c>
      <c r="N148" s="222"/>
      <c r="O148" s="370">
        <f t="shared" si="16"/>
        <v>5300.3176220327641</v>
      </c>
      <c r="P148" s="222"/>
      <c r="Q148" s="370">
        <f t="shared" si="17"/>
        <v>10352.557972375018</v>
      </c>
    </row>
    <row r="149" spans="8:17" s="5" customFormat="1" ht="15.6" hidden="1">
      <c r="I149" s="211"/>
      <c r="J149" s="215"/>
      <c r="K149" s="214">
        <v>0</v>
      </c>
      <c r="L149" s="215"/>
      <c r="M149" s="216"/>
      <c r="N149" s="212"/>
      <c r="O149" s="214">
        <v>0</v>
      </c>
      <c r="P149" s="212"/>
      <c r="Q149" s="216"/>
    </row>
    <row r="150" spans="8:17" s="5" customFormat="1" ht="15.6" hidden="1">
      <c r="H150" s="184"/>
      <c r="I150" s="184" t="s">
        <v>198</v>
      </c>
      <c r="J150" s="215"/>
      <c r="K150" s="217">
        <f>(0.375*U110)+V123</f>
        <v>3027</v>
      </c>
      <c r="L150" s="212"/>
      <c r="M150" s="217">
        <f>(0.75*U110)+V123</f>
        <v>5868</v>
      </c>
      <c r="N150" s="212"/>
      <c r="O150" s="217">
        <f>(0.5*U110)+V123</f>
        <v>3974</v>
      </c>
      <c r="P150" s="212"/>
      <c r="Q150" s="217">
        <f>U110+V123</f>
        <v>7762</v>
      </c>
    </row>
    <row r="151" spans="8:17" s="5" customFormat="1" ht="15.6" hidden="1">
      <c r="H151" s="184"/>
      <c r="I151" s="184" t="s">
        <v>199</v>
      </c>
      <c r="J151" s="215"/>
      <c r="K151" s="370">
        <f>K150*$S$108</f>
        <v>3154.134</v>
      </c>
      <c r="L151" s="222"/>
      <c r="M151" s="370">
        <f>M150*$S$108</f>
        <v>6114.4560000000001</v>
      </c>
      <c r="N151" s="222"/>
      <c r="O151" s="370">
        <f>O150*$S$108</f>
        <v>4140.9080000000004</v>
      </c>
      <c r="P151" s="222"/>
      <c r="Q151" s="370">
        <f>Q150*$S$108</f>
        <v>8088.0039999999999</v>
      </c>
    </row>
    <row r="152" spans="8:17" s="5" customFormat="1" ht="15.6" hidden="1">
      <c r="H152" s="184"/>
      <c r="I152" s="184" t="s">
        <v>200</v>
      </c>
      <c r="J152" s="215"/>
      <c r="K152" s="370">
        <f t="shared" ref="K152:K157" si="18">K151*$S$108</f>
        <v>3286.6076280000002</v>
      </c>
      <c r="L152" s="222"/>
      <c r="M152" s="370">
        <f>M151*$S$108</f>
        <v>6371.2631520000004</v>
      </c>
      <c r="N152" s="222"/>
      <c r="O152" s="370">
        <f t="shared" ref="O152:O157" si="19">O151*$S$108</f>
        <v>4314.8261360000006</v>
      </c>
      <c r="P152" s="222"/>
      <c r="Q152" s="370">
        <f t="shared" ref="Q152:Q157" si="20">Q151*$S$108</f>
        <v>8427.7001679999994</v>
      </c>
    </row>
    <row r="153" spans="8:17" s="5" customFormat="1" ht="15.6" hidden="1">
      <c r="H153" s="184"/>
      <c r="I153" s="184" t="s">
        <v>201</v>
      </c>
      <c r="J153" s="215"/>
      <c r="K153" s="370">
        <f t="shared" si="18"/>
        <v>3424.6451483760002</v>
      </c>
      <c r="L153" s="222"/>
      <c r="M153" s="370">
        <f t="shared" ref="M153:M157" si="21">M152*$S$108</f>
        <v>6638.8562043840011</v>
      </c>
      <c r="N153" s="222"/>
      <c r="O153" s="370">
        <f t="shared" si="19"/>
        <v>4496.0488337120005</v>
      </c>
      <c r="P153" s="222"/>
      <c r="Q153" s="370">
        <f t="shared" si="20"/>
        <v>8781.6635750559999</v>
      </c>
    </row>
    <row r="154" spans="8:17" s="5" customFormat="1" ht="15.6" hidden="1">
      <c r="H154" s="184"/>
      <c r="I154" s="184" t="s">
        <v>202</v>
      </c>
      <c r="J154" s="215"/>
      <c r="K154" s="370">
        <f t="shared" si="18"/>
        <v>3568.4802446077924</v>
      </c>
      <c r="L154" s="222"/>
      <c r="M154" s="370">
        <f t="shared" si="21"/>
        <v>6917.6881649681291</v>
      </c>
      <c r="N154" s="222"/>
      <c r="O154" s="370">
        <f t="shared" si="19"/>
        <v>4684.8828847279046</v>
      </c>
      <c r="P154" s="222"/>
      <c r="Q154" s="370">
        <f t="shared" si="20"/>
        <v>9150.4934452083526</v>
      </c>
    </row>
    <row r="155" spans="8:17" s="5" customFormat="1" ht="15.6" hidden="1">
      <c r="H155" s="184"/>
      <c r="I155" s="184" t="s">
        <v>209</v>
      </c>
      <c r="J155" s="215"/>
      <c r="K155" s="370">
        <f t="shared" si="18"/>
        <v>3718.3564148813198</v>
      </c>
      <c r="L155" s="222"/>
      <c r="M155" s="370">
        <f t="shared" si="21"/>
        <v>7208.2310678967906</v>
      </c>
      <c r="N155" s="222"/>
      <c r="O155" s="370">
        <f t="shared" si="19"/>
        <v>4881.6479658864764</v>
      </c>
      <c r="P155" s="222"/>
      <c r="Q155" s="370">
        <f t="shared" si="20"/>
        <v>9534.8141699071039</v>
      </c>
    </row>
    <row r="156" spans="8:17" s="5" customFormat="1" ht="15.6" hidden="1">
      <c r="H156" s="184"/>
      <c r="I156" s="184" t="s">
        <v>247</v>
      </c>
      <c r="J156" s="215"/>
      <c r="K156" s="370">
        <f t="shared" si="18"/>
        <v>3874.5273843063355</v>
      </c>
      <c r="L156" s="222"/>
      <c r="M156" s="370">
        <f t="shared" si="21"/>
        <v>7510.9767727484559</v>
      </c>
      <c r="N156" s="222"/>
      <c r="O156" s="370">
        <f t="shared" si="19"/>
        <v>5086.6771804537084</v>
      </c>
      <c r="P156" s="222"/>
      <c r="Q156" s="370">
        <f t="shared" si="20"/>
        <v>9935.2763650432025</v>
      </c>
    </row>
    <row r="157" spans="8:17" s="5" customFormat="1" ht="15.6" hidden="1">
      <c r="H157" s="184"/>
      <c r="I157" s="184" t="s">
        <v>252</v>
      </c>
      <c r="J157" s="215"/>
      <c r="K157" s="370">
        <f t="shared" si="18"/>
        <v>4037.2575344472016</v>
      </c>
      <c r="L157" s="222"/>
      <c r="M157" s="370">
        <f t="shared" si="21"/>
        <v>7826.437797203891</v>
      </c>
      <c r="N157" s="222"/>
      <c r="O157" s="370">
        <f t="shared" si="19"/>
        <v>5300.3176220327641</v>
      </c>
      <c r="P157" s="222"/>
      <c r="Q157" s="370">
        <f t="shared" si="20"/>
        <v>10352.557972375018</v>
      </c>
    </row>
    <row r="158" spans="8:17" s="5" customFormat="1" ht="15.6" hidden="1">
      <c r="I158" s="211"/>
      <c r="J158" s="215"/>
      <c r="K158" s="214">
        <v>0</v>
      </c>
      <c r="L158" s="215"/>
      <c r="M158" s="216"/>
      <c r="N158" s="212"/>
      <c r="O158" s="214">
        <v>0</v>
      </c>
      <c r="P158" s="212"/>
      <c r="Q158" s="216"/>
    </row>
    <row r="159" spans="8:17" s="5" customFormat="1" ht="15.6" hidden="1">
      <c r="H159" s="184"/>
      <c r="I159" s="184" t="s">
        <v>186</v>
      </c>
      <c r="J159" s="215"/>
      <c r="K159" s="218">
        <f>(0.375*U117)+W123</f>
        <v>1675.5</v>
      </c>
      <c r="L159" s="212"/>
      <c r="M159" s="218">
        <f>(0.75*U117)+W123</f>
        <v>3258</v>
      </c>
      <c r="N159" s="212"/>
      <c r="O159" s="218">
        <f>(0.5*U117)+W123</f>
        <v>2203</v>
      </c>
      <c r="P159" s="219"/>
      <c r="Q159" s="218">
        <f>U117+W123</f>
        <v>4313</v>
      </c>
    </row>
    <row r="160" spans="8:17" s="5" customFormat="1" ht="15.6" hidden="1">
      <c r="H160" s="184"/>
      <c r="I160" s="184" t="s">
        <v>187</v>
      </c>
      <c r="J160" s="215"/>
      <c r="K160" s="370">
        <f>K159*$S$108</f>
        <v>1745.8710000000001</v>
      </c>
      <c r="L160" s="222"/>
      <c r="M160" s="370">
        <f>M159*$S$108</f>
        <v>3394.8360000000002</v>
      </c>
      <c r="N160" s="222"/>
      <c r="O160" s="370">
        <f>O159*$S$108</f>
        <v>2295.5260000000003</v>
      </c>
      <c r="P160" s="223"/>
      <c r="Q160" s="370">
        <f>Q159*$S$108</f>
        <v>4494.1459999999997</v>
      </c>
    </row>
    <row r="161" spans="8:17" s="5" customFormat="1" ht="12.75" hidden="1" customHeight="1">
      <c r="H161" s="184"/>
      <c r="I161" s="184" t="s">
        <v>188</v>
      </c>
      <c r="J161" s="215"/>
      <c r="K161" s="370">
        <f t="shared" ref="K161:K166" si="22">K160*$S$108</f>
        <v>1819.1975820000002</v>
      </c>
      <c r="L161" s="222"/>
      <c r="M161" s="370">
        <f t="shared" ref="M161:M166" si="23">M160*$S$108</f>
        <v>3537.4191120000005</v>
      </c>
      <c r="N161" s="222"/>
      <c r="O161" s="370">
        <f t="shared" ref="O161:O166" si="24">O160*$S$108</f>
        <v>2391.9380920000003</v>
      </c>
      <c r="P161" s="223"/>
      <c r="Q161" s="370">
        <f t="shared" ref="Q161:Q166" si="25">Q160*$S$108</f>
        <v>4682.9001319999998</v>
      </c>
    </row>
    <row r="162" spans="8:17" s="5" customFormat="1" ht="12.75" hidden="1" customHeight="1">
      <c r="H162" s="184"/>
      <c r="I162" s="184" t="s">
        <v>189</v>
      </c>
      <c r="J162" s="215"/>
      <c r="K162" s="370">
        <f t="shared" si="22"/>
        <v>1895.6038804440004</v>
      </c>
      <c r="L162" s="222"/>
      <c r="M162" s="370">
        <f t="shared" si="23"/>
        <v>3685.9907147040008</v>
      </c>
      <c r="N162" s="222"/>
      <c r="O162" s="370">
        <f t="shared" si="24"/>
        <v>2492.3994918640005</v>
      </c>
      <c r="P162" s="223"/>
      <c r="Q162" s="370">
        <f t="shared" si="25"/>
        <v>4879.5819375439996</v>
      </c>
    </row>
    <row r="163" spans="8:17" s="5" customFormat="1" ht="12.75" hidden="1" customHeight="1">
      <c r="H163" s="184"/>
      <c r="I163" s="184" t="s">
        <v>190</v>
      </c>
      <c r="J163" s="215"/>
      <c r="K163" s="370">
        <f t="shared" si="22"/>
        <v>1975.2192434226486</v>
      </c>
      <c r="L163" s="222"/>
      <c r="M163" s="370">
        <f t="shared" si="23"/>
        <v>3840.8023247215688</v>
      </c>
      <c r="N163" s="222"/>
      <c r="O163" s="370">
        <f t="shared" si="24"/>
        <v>2597.0802705222886</v>
      </c>
      <c r="P163" s="223"/>
      <c r="Q163" s="370">
        <f t="shared" si="25"/>
        <v>5084.524378920848</v>
      </c>
    </row>
    <row r="164" spans="8:17" s="5" customFormat="1" ht="12.75" hidden="1" customHeight="1">
      <c r="H164" s="184"/>
      <c r="I164" s="184" t="s">
        <v>208</v>
      </c>
      <c r="J164" s="215"/>
      <c r="K164" s="370">
        <f t="shared" si="22"/>
        <v>2058.1784516463999</v>
      </c>
      <c r="L164" s="222"/>
      <c r="M164" s="370">
        <f t="shared" si="23"/>
        <v>4002.1160223598749</v>
      </c>
      <c r="N164" s="222"/>
      <c r="O164" s="370">
        <f t="shared" si="24"/>
        <v>2706.1576418842246</v>
      </c>
      <c r="P164" s="223"/>
      <c r="Q164" s="370">
        <f t="shared" si="25"/>
        <v>5298.0744028355239</v>
      </c>
    </row>
    <row r="165" spans="8:17" s="5" customFormat="1" ht="12.75" hidden="1" customHeight="1">
      <c r="H165" s="184"/>
      <c r="I165" s="184" t="s">
        <v>277</v>
      </c>
      <c r="J165" s="215"/>
      <c r="K165" s="370">
        <f t="shared" si="22"/>
        <v>2144.6219466155489</v>
      </c>
      <c r="L165" s="222"/>
      <c r="M165" s="370">
        <f t="shared" si="23"/>
        <v>4170.2048952989899</v>
      </c>
      <c r="N165" s="222"/>
      <c r="O165" s="370">
        <f t="shared" si="24"/>
        <v>2819.816262843362</v>
      </c>
      <c r="P165" s="223"/>
      <c r="Q165" s="370">
        <f t="shared" si="25"/>
        <v>5520.5935277546159</v>
      </c>
    </row>
    <row r="166" spans="8:17" s="5" customFormat="1" ht="12.75" hidden="1" customHeight="1">
      <c r="H166" s="184"/>
      <c r="I166" s="184" t="s">
        <v>278</v>
      </c>
      <c r="J166" s="215"/>
      <c r="K166" s="370">
        <f t="shared" si="22"/>
        <v>2234.6960683734019</v>
      </c>
      <c r="L166" s="222"/>
      <c r="M166" s="370">
        <f t="shared" si="23"/>
        <v>4345.3535009015477</v>
      </c>
      <c r="N166" s="222"/>
      <c r="O166" s="370">
        <f t="shared" si="24"/>
        <v>2938.2485458827832</v>
      </c>
      <c r="P166" s="223"/>
      <c r="Q166" s="370">
        <f t="shared" si="25"/>
        <v>5752.4584559203104</v>
      </c>
    </row>
    <row r="167" spans="8:17" s="5" customFormat="1" ht="12.75" hidden="1" customHeight="1"/>
    <row r="168" spans="8:17" s="5" customFormat="1" ht="15.6" hidden="1">
      <c r="I168" s="220" t="s">
        <v>284</v>
      </c>
      <c r="J168" s="220"/>
      <c r="K168" s="220"/>
      <c r="L168" s="220"/>
      <c r="M168" s="220"/>
      <c r="N168" s="220"/>
      <c r="O168" s="220"/>
      <c r="P168" s="220"/>
      <c r="Q168" s="220"/>
    </row>
    <row r="169" spans="8:17" s="5" customFormat="1" ht="15.6" hidden="1">
      <c r="I169" s="215"/>
      <c r="J169" s="212"/>
      <c r="K169" s="216" t="s">
        <v>280</v>
      </c>
      <c r="L169" s="212"/>
      <c r="M169" s="216" t="s">
        <v>281</v>
      </c>
      <c r="N169" s="212"/>
      <c r="O169" s="216" t="s">
        <v>282</v>
      </c>
      <c r="P169" s="212"/>
      <c r="Q169" s="216" t="s">
        <v>283</v>
      </c>
    </row>
    <row r="170" spans="8:17" s="5" customFormat="1" ht="15.6" hidden="1">
      <c r="I170" s="211"/>
      <c r="J170" s="212"/>
      <c r="K170" s="215"/>
      <c r="L170" s="215"/>
      <c r="M170" s="216"/>
      <c r="N170" s="212"/>
      <c r="O170" s="216"/>
      <c r="P170" s="212"/>
      <c r="Q170" s="216"/>
    </row>
    <row r="171" spans="8:17" s="5" customFormat="1" ht="15.6" hidden="1">
      <c r="H171" s="184"/>
      <c r="I171" s="184" t="s">
        <v>226</v>
      </c>
      <c r="J171" s="215"/>
      <c r="K171" s="213">
        <f>(0.375*U109)+V123</f>
        <v>3027</v>
      </c>
      <c r="L171" s="212"/>
      <c r="M171" s="213">
        <f>(0.75*U109)+V123</f>
        <v>5868</v>
      </c>
      <c r="N171" s="212"/>
      <c r="O171" s="213">
        <f>(0.5*U109)+V123</f>
        <v>3974</v>
      </c>
      <c r="P171" s="212"/>
      <c r="Q171" s="213">
        <f>U109+V123</f>
        <v>7762</v>
      </c>
    </row>
    <row r="172" spans="8:17" s="5" customFormat="1" ht="15.6" hidden="1">
      <c r="H172" s="184"/>
      <c r="I172" s="184" t="s">
        <v>192</v>
      </c>
      <c r="J172" s="215"/>
      <c r="K172" s="370">
        <f>K171*$S$108</f>
        <v>3154.134</v>
      </c>
      <c r="L172" s="222"/>
      <c r="M172" s="370">
        <f>M171*$S$108</f>
        <v>6114.4560000000001</v>
      </c>
      <c r="N172" s="222"/>
      <c r="O172" s="370">
        <f>O171*$S$108</f>
        <v>4140.9080000000004</v>
      </c>
      <c r="P172" s="222"/>
      <c r="Q172" s="370">
        <f>Q171*$S$108</f>
        <v>8088.0039999999999</v>
      </c>
    </row>
    <row r="173" spans="8:17" s="5" customFormat="1" ht="15.6" hidden="1">
      <c r="H173" s="184"/>
      <c r="I173" s="184" t="s">
        <v>193</v>
      </c>
      <c r="J173" s="215"/>
      <c r="K173" s="370">
        <f t="shared" ref="K173:K178" si="26">K172*$S$108</f>
        <v>3286.6076280000002</v>
      </c>
      <c r="L173" s="222"/>
      <c r="M173" s="370">
        <f t="shared" ref="M173:M178" si="27">M172*$S$108</f>
        <v>6371.2631520000004</v>
      </c>
      <c r="N173" s="222"/>
      <c r="O173" s="370">
        <f t="shared" ref="O173:O178" si="28">O172*$S$108</f>
        <v>4314.8261360000006</v>
      </c>
      <c r="P173" s="222"/>
      <c r="Q173" s="370">
        <f t="shared" ref="Q173:Q178" si="29">Q172*$S$108</f>
        <v>8427.7001679999994</v>
      </c>
    </row>
    <row r="174" spans="8:17" s="5" customFormat="1" ht="15.6" hidden="1">
      <c r="H174" s="184"/>
      <c r="I174" s="184" t="s">
        <v>194</v>
      </c>
      <c r="J174" s="215"/>
      <c r="K174" s="370">
        <f t="shared" si="26"/>
        <v>3424.6451483760002</v>
      </c>
      <c r="L174" s="222"/>
      <c r="M174" s="370">
        <f t="shared" si="27"/>
        <v>6638.8562043840011</v>
      </c>
      <c r="N174" s="222"/>
      <c r="O174" s="370">
        <f t="shared" si="28"/>
        <v>4496.0488337120005</v>
      </c>
      <c r="P174" s="222"/>
      <c r="Q174" s="370">
        <f t="shared" si="29"/>
        <v>8781.6635750559999</v>
      </c>
    </row>
    <row r="175" spans="8:17" s="5" customFormat="1" ht="15.6" hidden="1">
      <c r="H175" s="184"/>
      <c r="I175" s="184" t="s">
        <v>195</v>
      </c>
      <c r="J175" s="215"/>
      <c r="K175" s="370">
        <f t="shared" si="26"/>
        <v>3568.4802446077924</v>
      </c>
      <c r="L175" s="222"/>
      <c r="M175" s="370">
        <f t="shared" si="27"/>
        <v>6917.6881649681291</v>
      </c>
      <c r="N175" s="222"/>
      <c r="O175" s="370">
        <f t="shared" si="28"/>
        <v>4684.8828847279046</v>
      </c>
      <c r="P175" s="222"/>
      <c r="Q175" s="370">
        <f t="shared" si="29"/>
        <v>9150.4934452083526</v>
      </c>
    </row>
    <row r="176" spans="8:17" s="5" customFormat="1" ht="15.6" hidden="1">
      <c r="H176" s="184"/>
      <c r="I176" s="184" t="s">
        <v>196</v>
      </c>
      <c r="J176" s="215"/>
      <c r="K176" s="370">
        <f t="shared" si="26"/>
        <v>3718.3564148813198</v>
      </c>
      <c r="L176" s="222"/>
      <c r="M176" s="370">
        <f t="shared" si="27"/>
        <v>7208.2310678967906</v>
      </c>
      <c r="N176" s="222"/>
      <c r="O176" s="370">
        <f t="shared" si="28"/>
        <v>4881.6479658864764</v>
      </c>
      <c r="P176" s="222"/>
      <c r="Q176" s="370">
        <f t="shared" si="29"/>
        <v>9534.8141699071039</v>
      </c>
    </row>
    <row r="177" spans="8:17" s="5" customFormat="1" ht="15.6" hidden="1">
      <c r="H177" s="184"/>
      <c r="I177" s="184" t="s">
        <v>230</v>
      </c>
      <c r="J177" s="215"/>
      <c r="K177" s="370">
        <f t="shared" si="26"/>
        <v>3874.5273843063355</v>
      </c>
      <c r="L177" s="222"/>
      <c r="M177" s="370">
        <f t="shared" si="27"/>
        <v>7510.9767727484559</v>
      </c>
      <c r="N177" s="222"/>
      <c r="O177" s="370">
        <f t="shared" si="28"/>
        <v>5086.6771804537084</v>
      </c>
      <c r="P177" s="222"/>
      <c r="Q177" s="370">
        <f t="shared" si="29"/>
        <v>9935.2763650432025</v>
      </c>
    </row>
    <row r="178" spans="8:17" s="5" customFormat="1" ht="15.6" hidden="1">
      <c r="H178" s="184"/>
      <c r="I178" s="184" t="s">
        <v>231</v>
      </c>
      <c r="J178" s="215"/>
      <c r="K178" s="370">
        <f t="shared" si="26"/>
        <v>4037.2575344472016</v>
      </c>
      <c r="L178" s="222"/>
      <c r="M178" s="370">
        <f t="shared" si="27"/>
        <v>7826.437797203891</v>
      </c>
      <c r="N178" s="222"/>
      <c r="O178" s="370">
        <f t="shared" si="28"/>
        <v>5300.3176220327641</v>
      </c>
      <c r="P178" s="222"/>
      <c r="Q178" s="370">
        <f t="shared" si="29"/>
        <v>10352.557972375018</v>
      </c>
    </row>
    <row r="179" spans="8:17" s="5" customFormat="1" ht="15.6" hidden="1">
      <c r="I179" s="211"/>
      <c r="J179" s="215"/>
      <c r="K179" s="214">
        <v>0</v>
      </c>
      <c r="L179" s="215"/>
      <c r="M179" s="216"/>
      <c r="N179" s="212"/>
      <c r="O179" s="214">
        <v>0</v>
      </c>
      <c r="P179" s="212"/>
      <c r="Q179" s="216"/>
    </row>
    <row r="180" spans="8:17" s="5" customFormat="1" ht="15.6" hidden="1">
      <c r="H180" s="184"/>
      <c r="I180" s="184" t="s">
        <v>198</v>
      </c>
      <c r="J180" s="215"/>
      <c r="K180" s="217">
        <f>(0.375*U109)+V123</f>
        <v>3027</v>
      </c>
      <c r="L180" s="212"/>
      <c r="M180" s="217">
        <f>(0.75*U109)+V123</f>
        <v>5868</v>
      </c>
      <c r="N180" s="212"/>
      <c r="O180" s="217">
        <f>(0.5*U109)+V123</f>
        <v>3974</v>
      </c>
      <c r="P180" s="212"/>
      <c r="Q180" s="217">
        <f>U109+V123</f>
        <v>7762</v>
      </c>
    </row>
    <row r="181" spans="8:17" s="5" customFormat="1" ht="15.6" hidden="1">
      <c r="H181" s="184"/>
      <c r="I181" s="184" t="s">
        <v>199</v>
      </c>
      <c r="J181" s="215"/>
      <c r="K181" s="370">
        <f>K180*$S$108</f>
        <v>3154.134</v>
      </c>
      <c r="L181" s="222"/>
      <c r="M181" s="370">
        <f>M180*$S$108</f>
        <v>6114.4560000000001</v>
      </c>
      <c r="N181" s="222"/>
      <c r="O181" s="370">
        <f>O180*$S$108</f>
        <v>4140.9080000000004</v>
      </c>
      <c r="P181" s="222"/>
      <c r="Q181" s="370">
        <f>Q180*$S$108</f>
        <v>8088.0039999999999</v>
      </c>
    </row>
    <row r="182" spans="8:17" s="5" customFormat="1" ht="15.6" hidden="1">
      <c r="H182" s="184"/>
      <c r="I182" s="184" t="s">
        <v>200</v>
      </c>
      <c r="J182" s="215"/>
      <c r="K182" s="370">
        <f t="shared" ref="K182:K187" si="30">K181*$S$108</f>
        <v>3286.6076280000002</v>
      </c>
      <c r="L182" s="222"/>
      <c r="M182" s="370">
        <f t="shared" ref="M182:M187" si="31">M181*$S$108</f>
        <v>6371.2631520000004</v>
      </c>
      <c r="N182" s="222"/>
      <c r="O182" s="370">
        <f t="shared" ref="O182:O187" si="32">O181*$S$108</f>
        <v>4314.8261360000006</v>
      </c>
      <c r="P182" s="222"/>
      <c r="Q182" s="370">
        <f t="shared" ref="Q182:Q187" si="33">Q181*$S$108</f>
        <v>8427.7001679999994</v>
      </c>
    </row>
    <row r="183" spans="8:17" s="5" customFormat="1" ht="15.6" hidden="1">
      <c r="H183" s="184"/>
      <c r="I183" s="184" t="s">
        <v>201</v>
      </c>
      <c r="J183" s="215"/>
      <c r="K183" s="370">
        <f t="shared" si="30"/>
        <v>3424.6451483760002</v>
      </c>
      <c r="L183" s="222"/>
      <c r="M183" s="370">
        <f t="shared" si="31"/>
        <v>6638.8562043840011</v>
      </c>
      <c r="N183" s="222"/>
      <c r="O183" s="370">
        <f t="shared" si="32"/>
        <v>4496.0488337120005</v>
      </c>
      <c r="P183" s="222"/>
      <c r="Q183" s="370">
        <f t="shared" si="33"/>
        <v>8781.6635750559999</v>
      </c>
    </row>
    <row r="184" spans="8:17" s="5" customFormat="1" ht="15.6" hidden="1">
      <c r="H184" s="184"/>
      <c r="I184" s="184" t="s">
        <v>202</v>
      </c>
      <c r="J184" s="215"/>
      <c r="K184" s="370">
        <f t="shared" si="30"/>
        <v>3568.4802446077924</v>
      </c>
      <c r="L184" s="222"/>
      <c r="M184" s="370">
        <f t="shared" si="31"/>
        <v>6917.6881649681291</v>
      </c>
      <c r="N184" s="222"/>
      <c r="O184" s="370">
        <f t="shared" si="32"/>
        <v>4684.8828847279046</v>
      </c>
      <c r="P184" s="222"/>
      <c r="Q184" s="370">
        <f t="shared" si="33"/>
        <v>9150.4934452083526</v>
      </c>
    </row>
    <row r="185" spans="8:17" s="5" customFormat="1" ht="15.6" hidden="1">
      <c r="H185" s="184"/>
      <c r="I185" s="184" t="s">
        <v>209</v>
      </c>
      <c r="J185" s="215"/>
      <c r="K185" s="370">
        <f t="shared" si="30"/>
        <v>3718.3564148813198</v>
      </c>
      <c r="L185" s="222"/>
      <c r="M185" s="370">
        <f t="shared" si="31"/>
        <v>7208.2310678967906</v>
      </c>
      <c r="N185" s="222"/>
      <c r="O185" s="370">
        <f t="shared" si="32"/>
        <v>4881.6479658864764</v>
      </c>
      <c r="P185" s="222"/>
      <c r="Q185" s="370">
        <f t="shared" si="33"/>
        <v>9534.8141699071039</v>
      </c>
    </row>
    <row r="186" spans="8:17" s="5" customFormat="1" ht="15.6" hidden="1">
      <c r="H186" s="184"/>
      <c r="I186" s="184" t="s">
        <v>247</v>
      </c>
      <c r="J186" s="215"/>
      <c r="K186" s="370">
        <f t="shared" si="30"/>
        <v>3874.5273843063355</v>
      </c>
      <c r="L186" s="222"/>
      <c r="M186" s="370">
        <f t="shared" si="31"/>
        <v>7510.9767727484559</v>
      </c>
      <c r="N186" s="222"/>
      <c r="O186" s="370">
        <f t="shared" si="32"/>
        <v>5086.6771804537084</v>
      </c>
      <c r="P186" s="222"/>
      <c r="Q186" s="370">
        <f t="shared" si="33"/>
        <v>9935.2763650432025</v>
      </c>
    </row>
    <row r="187" spans="8:17" s="5" customFormat="1" ht="15.6" hidden="1">
      <c r="H187" s="184"/>
      <c r="I187" s="184" t="s">
        <v>252</v>
      </c>
      <c r="J187" s="215"/>
      <c r="K187" s="370">
        <f t="shared" si="30"/>
        <v>4037.2575344472016</v>
      </c>
      <c r="L187" s="222"/>
      <c r="M187" s="370">
        <f t="shared" si="31"/>
        <v>7826.437797203891</v>
      </c>
      <c r="N187" s="222"/>
      <c r="O187" s="370">
        <f t="shared" si="32"/>
        <v>5300.3176220327641</v>
      </c>
      <c r="P187" s="222"/>
      <c r="Q187" s="370">
        <f t="shared" si="33"/>
        <v>10352.557972375018</v>
      </c>
    </row>
    <row r="188" spans="8:17" s="5" customFormat="1" ht="15.6" hidden="1">
      <c r="I188" s="211"/>
      <c r="J188" s="215"/>
      <c r="K188" s="214">
        <v>0</v>
      </c>
      <c r="L188" s="215"/>
      <c r="M188" s="216"/>
      <c r="N188" s="212"/>
      <c r="O188" s="214">
        <v>0</v>
      </c>
      <c r="P188" s="212"/>
      <c r="Q188" s="216"/>
    </row>
    <row r="189" spans="8:17" s="5" customFormat="1" ht="15.6" hidden="1">
      <c r="H189" s="184"/>
      <c r="I189" s="184" t="s">
        <v>186</v>
      </c>
      <c r="J189" s="215"/>
      <c r="K189" s="218">
        <f>(0.375*U116)+W123</f>
        <v>1675.5</v>
      </c>
      <c r="L189" s="212"/>
      <c r="M189" s="218">
        <f>(0.75*U116)+W123</f>
        <v>3258</v>
      </c>
      <c r="N189" s="212"/>
      <c r="O189" s="218">
        <f>(0.5*U116)+W123</f>
        <v>2203</v>
      </c>
      <c r="P189" s="219"/>
      <c r="Q189" s="218">
        <f>U116+W123</f>
        <v>4313</v>
      </c>
    </row>
    <row r="190" spans="8:17" s="5" customFormat="1" ht="15.6" hidden="1">
      <c r="H190" s="184"/>
      <c r="I190" s="184" t="s">
        <v>187</v>
      </c>
      <c r="J190" s="215"/>
      <c r="K190" s="370">
        <f>K189*$S$108</f>
        <v>1745.8710000000001</v>
      </c>
      <c r="L190" s="222"/>
      <c r="M190" s="370">
        <f>M189*$S$108</f>
        <v>3394.8360000000002</v>
      </c>
      <c r="N190" s="222"/>
      <c r="O190" s="370">
        <f>O189*$S$108</f>
        <v>2295.5260000000003</v>
      </c>
      <c r="P190" s="223"/>
      <c r="Q190" s="370">
        <f>Q189*$S$108</f>
        <v>4494.1459999999997</v>
      </c>
    </row>
    <row r="191" spans="8:17" s="5" customFormat="1" ht="15.6" hidden="1">
      <c r="H191" s="184"/>
      <c r="I191" s="184" t="s">
        <v>188</v>
      </c>
      <c r="J191" s="215"/>
      <c r="K191" s="370">
        <f t="shared" ref="K191:K196" si="34">K190*$S$108</f>
        <v>1819.1975820000002</v>
      </c>
      <c r="L191" s="222"/>
      <c r="M191" s="370">
        <f t="shared" ref="M191:M196" si="35">M190*$S$108</f>
        <v>3537.4191120000005</v>
      </c>
      <c r="N191" s="222"/>
      <c r="O191" s="370">
        <f t="shared" ref="O191:O196" si="36">O190*$S$108</f>
        <v>2391.9380920000003</v>
      </c>
      <c r="P191" s="223"/>
      <c r="Q191" s="370">
        <f t="shared" ref="Q191:Q196" si="37">Q190*$S$108</f>
        <v>4682.9001319999998</v>
      </c>
    </row>
    <row r="192" spans="8:17" s="5" customFormat="1" ht="15.6" hidden="1">
      <c r="H192" s="184"/>
      <c r="I192" s="184" t="s">
        <v>189</v>
      </c>
      <c r="J192" s="215"/>
      <c r="K192" s="370">
        <f t="shared" si="34"/>
        <v>1895.6038804440004</v>
      </c>
      <c r="L192" s="222"/>
      <c r="M192" s="370">
        <f t="shared" si="35"/>
        <v>3685.9907147040008</v>
      </c>
      <c r="N192" s="222"/>
      <c r="O192" s="370">
        <f t="shared" si="36"/>
        <v>2492.3994918640005</v>
      </c>
      <c r="P192" s="223"/>
      <c r="Q192" s="370">
        <f t="shared" si="37"/>
        <v>4879.5819375439996</v>
      </c>
    </row>
    <row r="193" spans="8:19" s="5" customFormat="1" ht="15.6" hidden="1">
      <c r="H193" s="184"/>
      <c r="I193" s="184" t="s">
        <v>190</v>
      </c>
      <c r="J193" s="215"/>
      <c r="K193" s="370">
        <f t="shared" si="34"/>
        <v>1975.2192434226486</v>
      </c>
      <c r="L193" s="222"/>
      <c r="M193" s="370">
        <f t="shared" si="35"/>
        <v>3840.8023247215688</v>
      </c>
      <c r="N193" s="222"/>
      <c r="O193" s="370">
        <f t="shared" si="36"/>
        <v>2597.0802705222886</v>
      </c>
      <c r="P193" s="223"/>
      <c r="Q193" s="370">
        <f t="shared" si="37"/>
        <v>5084.524378920848</v>
      </c>
    </row>
    <row r="194" spans="8:19" s="5" customFormat="1" ht="15.6" hidden="1">
      <c r="H194" s="184"/>
      <c r="I194" s="184" t="s">
        <v>208</v>
      </c>
      <c r="J194" s="215"/>
      <c r="K194" s="370">
        <f t="shared" si="34"/>
        <v>2058.1784516463999</v>
      </c>
      <c r="L194" s="222"/>
      <c r="M194" s="370">
        <f t="shared" si="35"/>
        <v>4002.1160223598749</v>
      </c>
      <c r="N194" s="222"/>
      <c r="O194" s="370">
        <f t="shared" si="36"/>
        <v>2706.1576418842246</v>
      </c>
      <c r="P194" s="223"/>
      <c r="Q194" s="370">
        <f t="shared" si="37"/>
        <v>5298.0744028355239</v>
      </c>
    </row>
    <row r="195" spans="8:19" s="5" customFormat="1" ht="15.6" hidden="1">
      <c r="H195" s="184"/>
      <c r="I195" s="184" t="s">
        <v>277</v>
      </c>
      <c r="J195" s="215"/>
      <c r="K195" s="370">
        <f t="shared" si="34"/>
        <v>2144.6219466155489</v>
      </c>
      <c r="L195" s="222"/>
      <c r="M195" s="370">
        <f t="shared" si="35"/>
        <v>4170.2048952989899</v>
      </c>
      <c r="N195" s="222"/>
      <c r="O195" s="370">
        <f t="shared" si="36"/>
        <v>2819.816262843362</v>
      </c>
      <c r="P195" s="223"/>
      <c r="Q195" s="370">
        <f t="shared" si="37"/>
        <v>5520.5935277546159</v>
      </c>
    </row>
    <row r="196" spans="8:19" s="5" customFormat="1" ht="15.6" hidden="1">
      <c r="H196" s="184"/>
      <c r="I196" s="184" t="s">
        <v>278</v>
      </c>
      <c r="J196" s="215"/>
      <c r="K196" s="370">
        <f t="shared" si="34"/>
        <v>2234.6960683734019</v>
      </c>
      <c r="L196" s="222"/>
      <c r="M196" s="370">
        <f t="shared" si="35"/>
        <v>4345.3535009015477</v>
      </c>
      <c r="N196" s="222"/>
      <c r="O196" s="370">
        <f t="shared" si="36"/>
        <v>2938.2485458827832</v>
      </c>
      <c r="P196" s="223"/>
      <c r="Q196" s="370">
        <f t="shared" si="37"/>
        <v>5752.4584559203104</v>
      </c>
      <c r="R196" s="209"/>
      <c r="S196" s="209"/>
    </row>
    <row r="197" spans="8:19" s="97" customFormat="1" ht="15.6" hidden="1"/>
    <row r="198" spans="8:19" s="97" customFormat="1" ht="18" hidden="1" customHeight="1">
      <c r="I198" s="220" t="s">
        <v>285</v>
      </c>
      <c r="J198" s="220"/>
      <c r="K198" s="220"/>
      <c r="L198" s="220"/>
      <c r="M198" s="220"/>
      <c r="N198" s="220"/>
      <c r="O198" s="220"/>
      <c r="P198" s="220"/>
      <c r="Q198" s="220"/>
    </row>
    <row r="199" spans="8:19" s="97" customFormat="1" ht="15.6" hidden="1">
      <c r="I199" s="215"/>
      <c r="J199" s="212"/>
      <c r="K199" s="216" t="s">
        <v>280</v>
      </c>
      <c r="L199" s="212"/>
      <c r="M199" s="216" t="s">
        <v>281</v>
      </c>
      <c r="N199" s="212"/>
      <c r="O199" s="216" t="s">
        <v>282</v>
      </c>
      <c r="P199" s="212"/>
      <c r="Q199" s="216" t="s">
        <v>283</v>
      </c>
    </row>
    <row r="200" spans="8:19" s="97" customFormat="1" ht="15.6" hidden="1">
      <c r="I200" s="211"/>
      <c r="J200" s="212"/>
      <c r="K200" s="215"/>
      <c r="L200" s="215"/>
      <c r="M200" s="216"/>
      <c r="N200" s="212"/>
      <c r="O200" s="216"/>
      <c r="P200" s="212"/>
      <c r="Q200" s="216"/>
    </row>
    <row r="201" spans="8:19" s="97" customFormat="1" ht="15.6" hidden="1">
      <c r="H201" s="184"/>
      <c r="I201" s="184" t="s">
        <v>226</v>
      </c>
      <c r="J201" s="215"/>
      <c r="K201" s="213">
        <f>(0.375*U112)+V123</f>
        <v>2786.25</v>
      </c>
      <c r="L201" s="212"/>
      <c r="M201" s="213">
        <f>(0.75*U112)+V123</f>
        <v>5386.5</v>
      </c>
      <c r="N201" s="212"/>
      <c r="O201" s="213">
        <f>(0.5*U112)+V123</f>
        <v>3653</v>
      </c>
      <c r="P201" s="212"/>
      <c r="Q201" s="213">
        <f>U112+V123</f>
        <v>7120</v>
      </c>
    </row>
    <row r="202" spans="8:19" s="97" customFormat="1" ht="15.6" hidden="1">
      <c r="H202" s="184"/>
      <c r="I202" s="184" t="s">
        <v>192</v>
      </c>
      <c r="J202" s="215"/>
      <c r="K202" s="370">
        <f>K201*$S$108</f>
        <v>2903.2725</v>
      </c>
      <c r="L202" s="222"/>
      <c r="M202" s="370">
        <f>M201*$S$108</f>
        <v>5612.7330000000002</v>
      </c>
      <c r="N202" s="222"/>
      <c r="O202" s="370">
        <f>O201*$S$108</f>
        <v>3806.4259999999999</v>
      </c>
      <c r="P202" s="222"/>
      <c r="Q202" s="370">
        <f>Q201*$S$108</f>
        <v>7419.04</v>
      </c>
    </row>
    <row r="203" spans="8:19" s="97" customFormat="1" ht="15.6" hidden="1">
      <c r="H203" s="184"/>
      <c r="I203" s="184" t="s">
        <v>193</v>
      </c>
      <c r="J203" s="215"/>
      <c r="K203" s="370">
        <f t="shared" ref="K203:K208" si="38">K202*$S$108</f>
        <v>3025.2099450000001</v>
      </c>
      <c r="L203" s="222"/>
      <c r="M203" s="370">
        <f t="shared" ref="M203:M208" si="39">M202*$S$108</f>
        <v>5848.4677860000002</v>
      </c>
      <c r="N203" s="222"/>
      <c r="O203" s="370">
        <f t="shared" ref="O203:O208" si="40">O202*$S$108</f>
        <v>3966.2958920000001</v>
      </c>
      <c r="P203" s="222"/>
      <c r="Q203" s="370">
        <f t="shared" ref="Q203:Q208" si="41">Q202*$S$108</f>
        <v>7730.6396800000002</v>
      </c>
    </row>
    <row r="204" spans="8:19" s="97" customFormat="1" ht="15.6" hidden="1">
      <c r="H204" s="184"/>
      <c r="I204" s="184" t="s">
        <v>194</v>
      </c>
      <c r="J204" s="215"/>
      <c r="K204" s="370">
        <f t="shared" si="38"/>
        <v>3152.2687626900001</v>
      </c>
      <c r="L204" s="222"/>
      <c r="M204" s="370">
        <f t="shared" si="39"/>
        <v>6094.1034330120001</v>
      </c>
      <c r="N204" s="222"/>
      <c r="O204" s="370">
        <f t="shared" si="40"/>
        <v>4132.8803194640004</v>
      </c>
      <c r="P204" s="222"/>
      <c r="Q204" s="370">
        <f t="shared" si="41"/>
        <v>8055.3265465600007</v>
      </c>
    </row>
    <row r="205" spans="8:19" s="97" customFormat="1" ht="15.6" hidden="1">
      <c r="H205" s="184"/>
      <c r="I205" s="184" t="s">
        <v>195</v>
      </c>
      <c r="J205" s="215"/>
      <c r="K205" s="370">
        <f t="shared" si="38"/>
        <v>3284.6640507229804</v>
      </c>
      <c r="L205" s="222"/>
      <c r="M205" s="370">
        <f t="shared" si="39"/>
        <v>6350.0557771985041</v>
      </c>
      <c r="N205" s="222"/>
      <c r="O205" s="370">
        <f t="shared" si="40"/>
        <v>4306.4612928814886</v>
      </c>
      <c r="P205" s="222"/>
      <c r="Q205" s="370">
        <f t="shared" si="41"/>
        <v>8393.6502615155205</v>
      </c>
    </row>
    <row r="206" spans="8:19" s="97" customFormat="1" ht="15.6" hidden="1">
      <c r="H206" s="184"/>
      <c r="I206" s="184" t="s">
        <v>196</v>
      </c>
      <c r="J206" s="215"/>
      <c r="K206" s="370">
        <f t="shared" si="38"/>
        <v>3422.6199408533457</v>
      </c>
      <c r="L206" s="222"/>
      <c r="M206" s="370">
        <f t="shared" si="39"/>
        <v>6616.7581198408416</v>
      </c>
      <c r="N206" s="222"/>
      <c r="O206" s="370">
        <f t="shared" si="40"/>
        <v>4487.3326671825116</v>
      </c>
      <c r="P206" s="222"/>
      <c r="Q206" s="370">
        <f t="shared" si="41"/>
        <v>8746.1835724991724</v>
      </c>
    </row>
    <row r="207" spans="8:19" s="97" customFormat="1" ht="15.6" hidden="1">
      <c r="H207" s="184"/>
      <c r="I207" s="184" t="s">
        <v>230</v>
      </c>
      <c r="J207" s="215"/>
      <c r="K207" s="370">
        <f t="shared" si="38"/>
        <v>3566.3699783691864</v>
      </c>
      <c r="L207" s="222"/>
      <c r="M207" s="370">
        <f t="shared" si="39"/>
        <v>6894.6619608741576</v>
      </c>
      <c r="N207" s="222"/>
      <c r="O207" s="370">
        <f t="shared" si="40"/>
        <v>4675.8006392041771</v>
      </c>
      <c r="P207" s="222"/>
      <c r="Q207" s="370">
        <f t="shared" si="41"/>
        <v>9113.5232825441381</v>
      </c>
    </row>
    <row r="208" spans="8:19" s="97" customFormat="1" ht="15.6" hidden="1">
      <c r="H208" s="184"/>
      <c r="I208" s="184" t="s">
        <v>231</v>
      </c>
      <c r="J208" s="215"/>
      <c r="K208" s="370">
        <f t="shared" si="38"/>
        <v>3716.1575174606924</v>
      </c>
      <c r="L208" s="222"/>
      <c r="M208" s="370">
        <f t="shared" si="39"/>
        <v>7184.2377632308726</v>
      </c>
      <c r="N208" s="222"/>
      <c r="O208" s="370">
        <f t="shared" si="40"/>
        <v>4872.1842660507527</v>
      </c>
      <c r="P208" s="222"/>
      <c r="Q208" s="370">
        <f t="shared" si="41"/>
        <v>9496.2912604109915</v>
      </c>
    </row>
    <row r="209" spans="8:17" s="97" customFormat="1" ht="15.6" hidden="1">
      <c r="I209" s="211"/>
      <c r="J209" s="215"/>
      <c r="K209" s="214">
        <v>0</v>
      </c>
      <c r="L209" s="215"/>
      <c r="M209" s="216"/>
      <c r="N209" s="212"/>
      <c r="O209" s="214">
        <v>0</v>
      </c>
      <c r="P209" s="212"/>
      <c r="Q209" s="216"/>
    </row>
    <row r="210" spans="8:17" s="97" customFormat="1" ht="15.6" hidden="1">
      <c r="H210" s="184"/>
      <c r="I210" s="184" t="s">
        <v>198</v>
      </c>
      <c r="J210" s="215"/>
      <c r="K210" s="217">
        <f>(0.375*U112)+V123</f>
        <v>2786.25</v>
      </c>
      <c r="L210" s="212"/>
      <c r="M210" s="217">
        <f>(0.75*U112)+V123</f>
        <v>5386.5</v>
      </c>
      <c r="N210" s="212"/>
      <c r="O210" s="217">
        <f>(0.5*U112)+V123</f>
        <v>3653</v>
      </c>
      <c r="P210" s="212"/>
      <c r="Q210" s="217">
        <f>U112+V123</f>
        <v>7120</v>
      </c>
    </row>
    <row r="211" spans="8:17" s="97" customFormat="1" ht="15.6" hidden="1">
      <c r="H211" s="184"/>
      <c r="I211" s="184" t="s">
        <v>199</v>
      </c>
      <c r="J211" s="215"/>
      <c r="K211" s="370">
        <f>K210*$S$108</f>
        <v>2903.2725</v>
      </c>
      <c r="L211" s="222"/>
      <c r="M211" s="370">
        <f>M210*$S$108</f>
        <v>5612.7330000000002</v>
      </c>
      <c r="N211" s="222"/>
      <c r="O211" s="370">
        <f>O210*$S$108</f>
        <v>3806.4259999999999</v>
      </c>
      <c r="P211" s="222"/>
      <c r="Q211" s="370">
        <f>Q210*$S$108</f>
        <v>7419.04</v>
      </c>
    </row>
    <row r="212" spans="8:17" s="97" customFormat="1" ht="15.6" hidden="1">
      <c r="H212" s="184"/>
      <c r="I212" s="184" t="s">
        <v>200</v>
      </c>
      <c r="J212" s="215"/>
      <c r="K212" s="370">
        <f t="shared" ref="K212:K217" si="42">K211*$S$108</f>
        <v>3025.2099450000001</v>
      </c>
      <c r="L212" s="222"/>
      <c r="M212" s="370">
        <f t="shared" ref="M212:M217" si="43">M211*$S$108</f>
        <v>5848.4677860000002</v>
      </c>
      <c r="N212" s="222"/>
      <c r="O212" s="370">
        <f t="shared" ref="O212:O217" si="44">O211*$S$108</f>
        <v>3966.2958920000001</v>
      </c>
      <c r="P212" s="222"/>
      <c r="Q212" s="370">
        <f t="shared" ref="Q212:Q217" si="45">Q211*$S$108</f>
        <v>7730.6396800000002</v>
      </c>
    </row>
    <row r="213" spans="8:17" s="97" customFormat="1" ht="15.6" hidden="1">
      <c r="H213" s="184"/>
      <c r="I213" s="184" t="s">
        <v>201</v>
      </c>
      <c r="J213" s="215"/>
      <c r="K213" s="370">
        <f t="shared" si="42"/>
        <v>3152.2687626900001</v>
      </c>
      <c r="L213" s="222"/>
      <c r="M213" s="370">
        <f t="shared" si="43"/>
        <v>6094.1034330120001</v>
      </c>
      <c r="N213" s="222"/>
      <c r="O213" s="370">
        <f t="shared" si="44"/>
        <v>4132.8803194640004</v>
      </c>
      <c r="P213" s="222"/>
      <c r="Q213" s="370">
        <f t="shared" si="45"/>
        <v>8055.3265465600007</v>
      </c>
    </row>
    <row r="214" spans="8:17" s="97" customFormat="1" ht="15.6" hidden="1">
      <c r="H214" s="184"/>
      <c r="I214" s="184" t="s">
        <v>202</v>
      </c>
      <c r="J214" s="215"/>
      <c r="K214" s="370">
        <f t="shared" si="42"/>
        <v>3284.6640507229804</v>
      </c>
      <c r="L214" s="222"/>
      <c r="M214" s="370">
        <f t="shared" si="43"/>
        <v>6350.0557771985041</v>
      </c>
      <c r="N214" s="222"/>
      <c r="O214" s="370">
        <f t="shared" si="44"/>
        <v>4306.4612928814886</v>
      </c>
      <c r="P214" s="222"/>
      <c r="Q214" s="370">
        <f t="shared" si="45"/>
        <v>8393.6502615155205</v>
      </c>
    </row>
    <row r="215" spans="8:17" s="97" customFormat="1" ht="15.6" hidden="1">
      <c r="H215" s="184"/>
      <c r="I215" s="184" t="s">
        <v>209</v>
      </c>
      <c r="J215" s="215"/>
      <c r="K215" s="370">
        <f t="shared" si="42"/>
        <v>3422.6199408533457</v>
      </c>
      <c r="L215" s="222"/>
      <c r="M215" s="370">
        <f t="shared" si="43"/>
        <v>6616.7581198408416</v>
      </c>
      <c r="N215" s="222"/>
      <c r="O215" s="370">
        <f t="shared" si="44"/>
        <v>4487.3326671825116</v>
      </c>
      <c r="P215" s="222"/>
      <c r="Q215" s="370">
        <f t="shared" si="45"/>
        <v>8746.1835724991724</v>
      </c>
    </row>
    <row r="216" spans="8:17" s="97" customFormat="1" ht="15.6" hidden="1">
      <c r="H216" s="184"/>
      <c r="I216" s="184" t="s">
        <v>247</v>
      </c>
      <c r="J216" s="215"/>
      <c r="K216" s="370">
        <f t="shared" si="42"/>
        <v>3566.3699783691864</v>
      </c>
      <c r="L216" s="222"/>
      <c r="M216" s="370">
        <f t="shared" si="43"/>
        <v>6894.6619608741576</v>
      </c>
      <c r="N216" s="222"/>
      <c r="O216" s="370">
        <f t="shared" si="44"/>
        <v>4675.8006392041771</v>
      </c>
      <c r="P216" s="222"/>
      <c r="Q216" s="370">
        <f t="shared" si="45"/>
        <v>9113.5232825441381</v>
      </c>
    </row>
    <row r="217" spans="8:17" s="97" customFormat="1" ht="15.6" hidden="1">
      <c r="H217" s="184"/>
      <c r="I217" s="184" t="s">
        <v>252</v>
      </c>
      <c r="J217" s="215"/>
      <c r="K217" s="370">
        <f t="shared" si="42"/>
        <v>3716.1575174606924</v>
      </c>
      <c r="L217" s="222"/>
      <c r="M217" s="370">
        <f t="shared" si="43"/>
        <v>7184.2377632308726</v>
      </c>
      <c r="N217" s="222"/>
      <c r="O217" s="370">
        <f t="shared" si="44"/>
        <v>4872.1842660507527</v>
      </c>
      <c r="P217" s="222"/>
      <c r="Q217" s="370">
        <f t="shared" si="45"/>
        <v>9496.2912604109915</v>
      </c>
    </row>
    <row r="218" spans="8:17" s="97" customFormat="1" ht="15.6" hidden="1">
      <c r="I218" s="211"/>
      <c r="J218" s="215"/>
      <c r="K218" s="214">
        <v>0</v>
      </c>
      <c r="L218" s="215"/>
      <c r="M218" s="216"/>
      <c r="N218" s="212"/>
      <c r="O218" s="214">
        <v>0</v>
      </c>
      <c r="P218" s="212"/>
      <c r="Q218" s="216"/>
    </row>
    <row r="219" spans="8:17" s="97" customFormat="1" ht="15.6" hidden="1">
      <c r="H219" s="184"/>
      <c r="I219" s="184" t="s">
        <v>186</v>
      </c>
      <c r="J219" s="215"/>
      <c r="K219" s="218">
        <f>(0.375*U119)+W123</f>
        <v>1540.5</v>
      </c>
      <c r="L219" s="212"/>
      <c r="M219" s="218">
        <f>(0.75*U119)+W123</f>
        <v>2988</v>
      </c>
      <c r="N219" s="212"/>
      <c r="O219" s="218">
        <f>(0.5*U119)+W123</f>
        <v>2023</v>
      </c>
      <c r="P219" s="219"/>
      <c r="Q219" s="218">
        <f>U119+W123</f>
        <v>3953</v>
      </c>
    </row>
    <row r="220" spans="8:17" s="97" customFormat="1" ht="15.6" hidden="1">
      <c r="H220" s="184"/>
      <c r="I220" s="184" t="s">
        <v>187</v>
      </c>
      <c r="J220" s="215"/>
      <c r="K220" s="370">
        <f>K219*$S$108</f>
        <v>1605.201</v>
      </c>
      <c r="L220" s="222"/>
      <c r="M220" s="370">
        <f>M219*$S$108</f>
        <v>3113.4960000000001</v>
      </c>
      <c r="N220" s="222"/>
      <c r="O220" s="370">
        <f>O219*$S$108</f>
        <v>2107.9659999999999</v>
      </c>
      <c r="P220" s="223"/>
      <c r="Q220" s="370">
        <f>Q219*$S$108</f>
        <v>4119.0259999999998</v>
      </c>
    </row>
    <row r="221" spans="8:17" s="97" customFormat="1" ht="15.6" hidden="1">
      <c r="H221" s="184"/>
      <c r="I221" s="184" t="s">
        <v>188</v>
      </c>
      <c r="J221" s="215"/>
      <c r="K221" s="370">
        <f t="shared" ref="K221:K226" si="46">K220*$S$108</f>
        <v>1672.6194420000002</v>
      </c>
      <c r="L221" s="222"/>
      <c r="M221" s="370">
        <f t="shared" ref="M221:M226" si="47">M220*$S$108</f>
        <v>3244.2628320000003</v>
      </c>
      <c r="N221" s="222"/>
      <c r="O221" s="370">
        <f t="shared" ref="O221:O226" si="48">O220*$S$108</f>
        <v>2196.5005719999999</v>
      </c>
      <c r="P221" s="223"/>
      <c r="Q221" s="370">
        <f t="shared" ref="Q221:Q226" si="49">Q220*$S$108</f>
        <v>4292.0250919999999</v>
      </c>
    </row>
    <row r="222" spans="8:17" s="97" customFormat="1" ht="15.6" hidden="1">
      <c r="H222" s="184"/>
      <c r="I222" s="184" t="s">
        <v>189</v>
      </c>
      <c r="J222" s="215"/>
      <c r="K222" s="370">
        <f t="shared" si="46"/>
        <v>1742.8694585640003</v>
      </c>
      <c r="L222" s="222"/>
      <c r="M222" s="370">
        <f t="shared" si="47"/>
        <v>3380.5218709440005</v>
      </c>
      <c r="N222" s="222"/>
      <c r="O222" s="370">
        <f t="shared" si="48"/>
        <v>2288.7535960240002</v>
      </c>
      <c r="P222" s="223"/>
      <c r="Q222" s="370">
        <f t="shared" si="49"/>
        <v>4472.2901458639999</v>
      </c>
    </row>
    <row r="223" spans="8:17" s="97" customFormat="1" ht="15.6" hidden="1">
      <c r="H223" s="184"/>
      <c r="I223" s="184" t="s">
        <v>190</v>
      </c>
      <c r="J223" s="215"/>
      <c r="K223" s="370">
        <f t="shared" si="46"/>
        <v>1816.0699758236883</v>
      </c>
      <c r="L223" s="222"/>
      <c r="M223" s="370">
        <f t="shared" si="47"/>
        <v>3522.5037895236487</v>
      </c>
      <c r="N223" s="222"/>
      <c r="O223" s="370">
        <f t="shared" si="48"/>
        <v>2384.8812470570083</v>
      </c>
      <c r="P223" s="223"/>
      <c r="Q223" s="370">
        <f t="shared" si="49"/>
        <v>4660.1263319902882</v>
      </c>
    </row>
    <row r="224" spans="8:17" s="97" customFormat="1" ht="15.6" hidden="1">
      <c r="H224" s="184"/>
      <c r="I224" s="184" t="s">
        <v>208</v>
      </c>
      <c r="J224" s="215"/>
      <c r="K224" s="370">
        <f t="shared" si="46"/>
        <v>1892.3449148082832</v>
      </c>
      <c r="L224" s="222"/>
      <c r="M224" s="370">
        <f t="shared" si="47"/>
        <v>3670.4489486836419</v>
      </c>
      <c r="N224" s="222"/>
      <c r="O224" s="370">
        <f t="shared" si="48"/>
        <v>2485.0462594334026</v>
      </c>
      <c r="P224" s="223"/>
      <c r="Q224" s="370">
        <f t="shared" si="49"/>
        <v>4855.8516379338807</v>
      </c>
    </row>
    <row r="225" spans="8:20" s="97" customFormat="1" ht="15.6" hidden="1">
      <c r="H225" s="184"/>
      <c r="I225" s="184" t="s">
        <v>277</v>
      </c>
      <c r="J225" s="215"/>
      <c r="K225" s="370">
        <f t="shared" si="46"/>
        <v>1971.8234012302312</v>
      </c>
      <c r="L225" s="222"/>
      <c r="M225" s="370">
        <f t="shared" si="47"/>
        <v>3824.6078045283548</v>
      </c>
      <c r="N225" s="222"/>
      <c r="O225" s="370">
        <f t="shared" si="48"/>
        <v>2589.4182023296057</v>
      </c>
      <c r="P225" s="223"/>
      <c r="Q225" s="370">
        <f t="shared" si="49"/>
        <v>5059.7974067271043</v>
      </c>
    </row>
    <row r="226" spans="8:20" s="97" customFormat="1" ht="15.6" hidden="1">
      <c r="H226" s="184"/>
      <c r="I226" s="184" t="s">
        <v>278</v>
      </c>
      <c r="J226" s="221"/>
      <c r="K226" s="370">
        <f t="shared" si="46"/>
        <v>2054.6399840819008</v>
      </c>
      <c r="L226" s="222"/>
      <c r="M226" s="370">
        <f t="shared" si="47"/>
        <v>3985.241332318546</v>
      </c>
      <c r="N226" s="222"/>
      <c r="O226" s="370">
        <f t="shared" si="48"/>
        <v>2698.1737668274491</v>
      </c>
      <c r="P226" s="223"/>
      <c r="Q226" s="370">
        <f t="shared" si="49"/>
        <v>5272.308897809643</v>
      </c>
    </row>
    <row r="227" spans="8:20" s="97" customFormat="1" ht="21.75" hidden="1" customHeight="1"/>
    <row r="228" spans="8:20" ht="15.6" hidden="1">
      <c r="I228" s="220" t="s">
        <v>214</v>
      </c>
      <c r="J228" s="220"/>
      <c r="K228" s="220"/>
      <c r="L228" s="220"/>
      <c r="M228" s="220"/>
      <c r="N228" s="220"/>
      <c r="O228" s="220"/>
      <c r="P228" s="220"/>
      <c r="Q228" s="220"/>
      <c r="R228" s="97"/>
      <c r="S228" s="97"/>
      <c r="T228" s="97"/>
    </row>
    <row r="229" spans="8:20" ht="15.6" hidden="1">
      <c r="I229" s="215"/>
      <c r="J229" s="212"/>
      <c r="K229" s="216" t="s">
        <v>280</v>
      </c>
      <c r="L229" s="212"/>
      <c r="M229" s="216" t="s">
        <v>281</v>
      </c>
      <c r="N229" s="212"/>
      <c r="O229" s="216" t="s">
        <v>282</v>
      </c>
      <c r="P229" s="212"/>
      <c r="Q229" s="216" t="s">
        <v>283</v>
      </c>
      <c r="R229" s="97"/>
      <c r="S229" s="97"/>
      <c r="T229" s="97"/>
    </row>
    <row r="230" spans="8:20" ht="15.6" hidden="1">
      <c r="I230" s="211"/>
      <c r="J230" s="212"/>
      <c r="K230" s="215"/>
      <c r="L230" s="215"/>
      <c r="M230" s="216"/>
      <c r="N230" s="212"/>
      <c r="O230" s="216"/>
      <c r="P230" s="212"/>
      <c r="Q230" s="216"/>
      <c r="R230" s="97"/>
      <c r="S230" s="97"/>
      <c r="T230" s="97"/>
    </row>
    <row r="231" spans="8:20" ht="15.6" hidden="1">
      <c r="H231" s="184"/>
      <c r="I231" s="184" t="s">
        <v>226</v>
      </c>
      <c r="J231" s="215"/>
      <c r="K231" s="213">
        <f>(0.375*U111)+V123</f>
        <v>2786.25</v>
      </c>
      <c r="L231" s="212"/>
      <c r="M231" s="213">
        <f>(0.75*U111)+V123</f>
        <v>5386.5</v>
      </c>
      <c r="N231" s="212"/>
      <c r="O231" s="213">
        <f>(0.5*U111)+V123</f>
        <v>3653</v>
      </c>
      <c r="P231" s="212"/>
      <c r="Q231" s="213">
        <f>U111+V123</f>
        <v>7120</v>
      </c>
      <c r="R231" s="97"/>
      <c r="S231" s="97"/>
      <c r="T231" s="97"/>
    </row>
    <row r="232" spans="8:20" ht="15.6" hidden="1">
      <c r="H232" s="184"/>
      <c r="I232" s="184" t="s">
        <v>192</v>
      </c>
      <c r="J232" s="215"/>
      <c r="K232" s="370">
        <f>K231*$S$108</f>
        <v>2903.2725</v>
      </c>
      <c r="L232" s="222"/>
      <c r="M232" s="370">
        <f>M231*$S$108</f>
        <v>5612.7330000000002</v>
      </c>
      <c r="N232" s="222"/>
      <c r="O232" s="370">
        <f>O231*$S$108</f>
        <v>3806.4259999999999</v>
      </c>
      <c r="P232" s="222"/>
      <c r="Q232" s="370">
        <f>Q231*$S$108</f>
        <v>7419.04</v>
      </c>
      <c r="R232" s="97"/>
      <c r="S232" s="97"/>
      <c r="T232" s="97"/>
    </row>
    <row r="233" spans="8:20" ht="15.6" hidden="1">
      <c r="H233" s="184"/>
      <c r="I233" s="184" t="s">
        <v>193</v>
      </c>
      <c r="J233" s="215"/>
      <c r="K233" s="370">
        <f t="shared" ref="K233:K238" si="50">K232*$S$108</f>
        <v>3025.2099450000001</v>
      </c>
      <c r="L233" s="222"/>
      <c r="M233" s="370">
        <f t="shared" ref="M233:M238" si="51">M232*$S$108</f>
        <v>5848.4677860000002</v>
      </c>
      <c r="N233" s="222"/>
      <c r="O233" s="370">
        <f t="shared" ref="O233:O238" si="52">O232*$S$108</f>
        <v>3966.2958920000001</v>
      </c>
      <c r="P233" s="222"/>
      <c r="Q233" s="370">
        <f t="shared" ref="Q233:Q238" si="53">Q232*$S$108</f>
        <v>7730.6396800000002</v>
      </c>
      <c r="R233" s="97"/>
      <c r="S233" s="97"/>
      <c r="T233" s="97"/>
    </row>
    <row r="234" spans="8:20" ht="15.6" hidden="1">
      <c r="H234" s="184"/>
      <c r="I234" s="184" t="s">
        <v>194</v>
      </c>
      <c r="J234" s="215"/>
      <c r="K234" s="370">
        <f t="shared" si="50"/>
        <v>3152.2687626900001</v>
      </c>
      <c r="L234" s="222"/>
      <c r="M234" s="370">
        <f t="shared" si="51"/>
        <v>6094.1034330120001</v>
      </c>
      <c r="N234" s="222"/>
      <c r="O234" s="370">
        <f t="shared" si="52"/>
        <v>4132.8803194640004</v>
      </c>
      <c r="P234" s="222"/>
      <c r="Q234" s="370">
        <f t="shared" si="53"/>
        <v>8055.3265465600007</v>
      </c>
      <c r="R234" s="97"/>
      <c r="S234" s="97"/>
      <c r="T234" s="97"/>
    </row>
    <row r="235" spans="8:20" ht="15.6" hidden="1">
      <c r="H235" s="184"/>
      <c r="I235" s="184" t="s">
        <v>195</v>
      </c>
      <c r="J235" s="215"/>
      <c r="K235" s="370">
        <f t="shared" si="50"/>
        <v>3284.6640507229804</v>
      </c>
      <c r="L235" s="222"/>
      <c r="M235" s="370">
        <f t="shared" si="51"/>
        <v>6350.0557771985041</v>
      </c>
      <c r="N235" s="222"/>
      <c r="O235" s="370">
        <f t="shared" si="52"/>
        <v>4306.4612928814886</v>
      </c>
      <c r="P235" s="222"/>
      <c r="Q235" s="370">
        <f t="shared" si="53"/>
        <v>8393.6502615155205</v>
      </c>
      <c r="R235" s="97"/>
      <c r="S235" s="97"/>
      <c r="T235" s="97"/>
    </row>
    <row r="236" spans="8:20" ht="15.6" hidden="1">
      <c r="H236" s="184"/>
      <c r="I236" s="184" t="s">
        <v>196</v>
      </c>
      <c r="J236" s="215"/>
      <c r="K236" s="370">
        <f t="shared" si="50"/>
        <v>3422.6199408533457</v>
      </c>
      <c r="L236" s="222"/>
      <c r="M236" s="370">
        <f t="shared" si="51"/>
        <v>6616.7581198408416</v>
      </c>
      <c r="N236" s="222"/>
      <c r="O236" s="370">
        <f t="shared" si="52"/>
        <v>4487.3326671825116</v>
      </c>
      <c r="P236" s="222"/>
      <c r="Q236" s="370">
        <f t="shared" si="53"/>
        <v>8746.1835724991724</v>
      </c>
      <c r="R236" s="97"/>
      <c r="S236" s="97"/>
      <c r="T236" s="97"/>
    </row>
    <row r="237" spans="8:20" ht="15.6" hidden="1">
      <c r="H237" s="184"/>
      <c r="I237" s="184" t="s">
        <v>230</v>
      </c>
      <c r="J237" s="215"/>
      <c r="K237" s="370">
        <f t="shared" si="50"/>
        <v>3566.3699783691864</v>
      </c>
      <c r="L237" s="222"/>
      <c r="M237" s="370">
        <f>M236*$S$108</f>
        <v>6894.6619608741576</v>
      </c>
      <c r="N237" s="222"/>
      <c r="O237" s="370">
        <f t="shared" si="52"/>
        <v>4675.8006392041771</v>
      </c>
      <c r="P237" s="222"/>
      <c r="Q237" s="370">
        <f t="shared" si="53"/>
        <v>9113.5232825441381</v>
      </c>
      <c r="R237" s="97"/>
      <c r="S237" s="97"/>
      <c r="T237" s="97"/>
    </row>
    <row r="238" spans="8:20" ht="15.6" hidden="1">
      <c r="H238" s="184"/>
      <c r="I238" s="184" t="s">
        <v>231</v>
      </c>
      <c r="J238" s="215"/>
      <c r="K238" s="370">
        <f t="shared" si="50"/>
        <v>3716.1575174606924</v>
      </c>
      <c r="L238" s="222"/>
      <c r="M238" s="370">
        <f t="shared" si="51"/>
        <v>7184.2377632308726</v>
      </c>
      <c r="N238" s="222"/>
      <c r="O238" s="370">
        <f t="shared" si="52"/>
        <v>4872.1842660507527</v>
      </c>
      <c r="P238" s="222"/>
      <c r="Q238" s="370">
        <f t="shared" si="53"/>
        <v>9496.2912604109915</v>
      </c>
      <c r="R238" s="97"/>
      <c r="S238" s="97"/>
      <c r="T238" s="97"/>
    </row>
    <row r="239" spans="8:20" ht="15.6" hidden="1">
      <c r="I239" s="211"/>
      <c r="J239" s="215"/>
      <c r="K239" s="214">
        <v>0</v>
      </c>
      <c r="L239" s="215"/>
      <c r="M239" s="216"/>
      <c r="N239" s="212"/>
      <c r="O239" s="214">
        <v>0</v>
      </c>
      <c r="P239" s="212"/>
      <c r="Q239" s="216"/>
      <c r="R239" s="97"/>
      <c r="S239" s="97"/>
      <c r="T239" s="97"/>
    </row>
    <row r="240" spans="8:20" ht="15.6" hidden="1">
      <c r="H240" s="184"/>
      <c r="I240" s="184" t="s">
        <v>198</v>
      </c>
      <c r="J240" s="215"/>
      <c r="K240" s="217">
        <f>(0.375*U111)+V123</f>
        <v>2786.25</v>
      </c>
      <c r="L240" s="212"/>
      <c r="M240" s="217">
        <f>(0.75*U111)+V123</f>
        <v>5386.5</v>
      </c>
      <c r="N240" s="212"/>
      <c r="O240" s="217">
        <f>(0.5*U111)+V123</f>
        <v>3653</v>
      </c>
      <c r="P240" s="212"/>
      <c r="Q240" s="217">
        <f>U111+V123</f>
        <v>7120</v>
      </c>
      <c r="R240" s="97"/>
      <c r="S240" s="97"/>
      <c r="T240" s="97"/>
    </row>
    <row r="241" spans="8:20" ht="15.6" hidden="1">
      <c r="H241" s="184"/>
      <c r="I241" s="184" t="s">
        <v>199</v>
      </c>
      <c r="J241" s="215"/>
      <c r="K241" s="370">
        <f>K240*$S$108</f>
        <v>2903.2725</v>
      </c>
      <c r="L241" s="222"/>
      <c r="M241" s="370">
        <f>M240*$S$108</f>
        <v>5612.7330000000002</v>
      </c>
      <c r="N241" s="222"/>
      <c r="O241" s="370">
        <f>O240*$S$108</f>
        <v>3806.4259999999999</v>
      </c>
      <c r="P241" s="222"/>
      <c r="Q241" s="370">
        <f>Q240*$S$108</f>
        <v>7419.04</v>
      </c>
      <c r="R241" s="97"/>
      <c r="S241" s="97"/>
      <c r="T241" s="97"/>
    </row>
    <row r="242" spans="8:20" ht="15.6" hidden="1">
      <c r="H242" s="184"/>
      <c r="I242" s="184" t="s">
        <v>200</v>
      </c>
      <c r="J242" s="215"/>
      <c r="K242" s="370">
        <f t="shared" ref="K242:K247" si="54">K241*$S$108</f>
        <v>3025.2099450000001</v>
      </c>
      <c r="L242" s="222"/>
      <c r="M242" s="370">
        <f t="shared" ref="M242:M247" si="55">M241*$S$108</f>
        <v>5848.4677860000002</v>
      </c>
      <c r="N242" s="222"/>
      <c r="O242" s="370">
        <f t="shared" ref="O242:O247" si="56">O241*$S$108</f>
        <v>3966.2958920000001</v>
      </c>
      <c r="P242" s="222"/>
      <c r="Q242" s="370">
        <f t="shared" ref="Q242:Q247" si="57">Q241*$S$108</f>
        <v>7730.6396800000002</v>
      </c>
      <c r="R242" s="97"/>
      <c r="S242" s="97"/>
      <c r="T242" s="97"/>
    </row>
    <row r="243" spans="8:20" ht="15.6" hidden="1">
      <c r="H243" s="184"/>
      <c r="I243" s="184" t="s">
        <v>201</v>
      </c>
      <c r="J243" s="215"/>
      <c r="K243" s="370">
        <f t="shared" si="54"/>
        <v>3152.2687626900001</v>
      </c>
      <c r="L243" s="222"/>
      <c r="M243" s="370">
        <f t="shared" si="55"/>
        <v>6094.1034330120001</v>
      </c>
      <c r="N243" s="222"/>
      <c r="O243" s="370">
        <f t="shared" si="56"/>
        <v>4132.8803194640004</v>
      </c>
      <c r="P243" s="222"/>
      <c r="Q243" s="370">
        <f t="shared" si="57"/>
        <v>8055.3265465600007</v>
      </c>
      <c r="R243" s="97"/>
      <c r="S243" s="97"/>
      <c r="T243" s="97"/>
    </row>
    <row r="244" spans="8:20" ht="15.6" hidden="1">
      <c r="H244" s="184"/>
      <c r="I244" s="184" t="s">
        <v>202</v>
      </c>
      <c r="J244" s="215"/>
      <c r="K244" s="370">
        <f t="shared" si="54"/>
        <v>3284.6640507229804</v>
      </c>
      <c r="L244" s="222"/>
      <c r="M244" s="370">
        <f t="shared" si="55"/>
        <v>6350.0557771985041</v>
      </c>
      <c r="N244" s="222"/>
      <c r="O244" s="370">
        <f t="shared" si="56"/>
        <v>4306.4612928814886</v>
      </c>
      <c r="P244" s="222"/>
      <c r="Q244" s="370">
        <f t="shared" si="57"/>
        <v>8393.6502615155205</v>
      </c>
      <c r="R244" s="97"/>
      <c r="S244" s="97"/>
      <c r="T244" s="97"/>
    </row>
    <row r="245" spans="8:20" ht="15.6" hidden="1">
      <c r="H245" s="184"/>
      <c r="I245" s="184" t="s">
        <v>209</v>
      </c>
      <c r="J245" s="215"/>
      <c r="K245" s="370">
        <f t="shared" si="54"/>
        <v>3422.6199408533457</v>
      </c>
      <c r="L245" s="222"/>
      <c r="M245" s="370">
        <f t="shared" si="55"/>
        <v>6616.7581198408416</v>
      </c>
      <c r="N245" s="222"/>
      <c r="O245" s="370">
        <f t="shared" si="56"/>
        <v>4487.3326671825116</v>
      </c>
      <c r="P245" s="222"/>
      <c r="Q245" s="370">
        <f t="shared" si="57"/>
        <v>8746.1835724991724</v>
      </c>
      <c r="R245" s="97"/>
      <c r="S245" s="97"/>
      <c r="T245" s="97"/>
    </row>
    <row r="246" spans="8:20" ht="15.6" hidden="1">
      <c r="H246" s="184"/>
      <c r="I246" s="184" t="s">
        <v>247</v>
      </c>
      <c r="J246" s="215"/>
      <c r="K246" s="370">
        <f t="shared" si="54"/>
        <v>3566.3699783691864</v>
      </c>
      <c r="L246" s="222"/>
      <c r="M246" s="370">
        <f>M245*$S$108</f>
        <v>6894.6619608741576</v>
      </c>
      <c r="N246" s="222"/>
      <c r="O246" s="370">
        <f t="shared" si="56"/>
        <v>4675.8006392041771</v>
      </c>
      <c r="P246" s="222"/>
      <c r="Q246" s="370">
        <f t="shared" si="57"/>
        <v>9113.5232825441381</v>
      </c>
      <c r="R246" s="97"/>
      <c r="S246" s="97"/>
      <c r="T246" s="97"/>
    </row>
    <row r="247" spans="8:20" ht="15.6" hidden="1">
      <c r="H247" s="184"/>
      <c r="I247" s="184" t="s">
        <v>252</v>
      </c>
      <c r="J247" s="215"/>
      <c r="K247" s="370">
        <f t="shared" si="54"/>
        <v>3716.1575174606924</v>
      </c>
      <c r="L247" s="222"/>
      <c r="M247" s="370">
        <f t="shared" si="55"/>
        <v>7184.2377632308726</v>
      </c>
      <c r="N247" s="222"/>
      <c r="O247" s="370">
        <f t="shared" si="56"/>
        <v>4872.1842660507527</v>
      </c>
      <c r="P247" s="222"/>
      <c r="Q247" s="370">
        <f t="shared" si="57"/>
        <v>9496.2912604109915</v>
      </c>
      <c r="R247" s="97"/>
      <c r="S247" s="97"/>
      <c r="T247" s="97"/>
    </row>
    <row r="248" spans="8:20" ht="15.6" hidden="1">
      <c r="I248" s="211"/>
      <c r="J248" s="215"/>
      <c r="K248" s="214">
        <v>0</v>
      </c>
      <c r="L248" s="215"/>
      <c r="M248" s="216"/>
      <c r="N248" s="212"/>
      <c r="O248" s="214">
        <v>0</v>
      </c>
      <c r="P248" s="212"/>
      <c r="Q248" s="216"/>
      <c r="R248" s="97"/>
      <c r="S248" s="97"/>
      <c r="T248" s="97"/>
    </row>
    <row r="249" spans="8:20" ht="15.6" hidden="1">
      <c r="H249" s="184"/>
      <c r="I249" s="184" t="s">
        <v>186</v>
      </c>
      <c r="J249" s="215"/>
      <c r="K249" s="218">
        <f>(0.375*U118)+W123</f>
        <v>1540.5</v>
      </c>
      <c r="L249" s="212"/>
      <c r="M249" s="218">
        <f>(0.75*U118)+W123</f>
        <v>2988</v>
      </c>
      <c r="N249" s="212"/>
      <c r="O249" s="218">
        <f>(0.5*U118)+W123</f>
        <v>2023</v>
      </c>
      <c r="P249" s="219"/>
      <c r="Q249" s="218">
        <f>U118+W123</f>
        <v>3953</v>
      </c>
      <c r="R249" s="97"/>
      <c r="S249" s="97"/>
      <c r="T249" s="97"/>
    </row>
    <row r="250" spans="8:20" ht="15.6" hidden="1">
      <c r="H250" s="184"/>
      <c r="I250" s="184" t="s">
        <v>187</v>
      </c>
      <c r="J250" s="215"/>
      <c r="K250" s="370">
        <f>K249*$S$108</f>
        <v>1605.201</v>
      </c>
      <c r="L250" s="222"/>
      <c r="M250" s="370">
        <f>M249*$S$108</f>
        <v>3113.4960000000001</v>
      </c>
      <c r="N250" s="222"/>
      <c r="O250" s="370">
        <f>O249*$S$108</f>
        <v>2107.9659999999999</v>
      </c>
      <c r="P250" s="223"/>
      <c r="Q250" s="370">
        <f>Q249*$S$108</f>
        <v>4119.0259999999998</v>
      </c>
      <c r="R250" s="97"/>
      <c r="S250" s="97"/>
      <c r="T250" s="97"/>
    </row>
    <row r="251" spans="8:20" ht="15.6" hidden="1">
      <c r="H251" s="184"/>
      <c r="I251" s="184" t="s">
        <v>188</v>
      </c>
      <c r="J251" s="215"/>
      <c r="K251" s="370">
        <f t="shared" ref="K251:K256" si="58">K250*$S$108</f>
        <v>1672.6194420000002</v>
      </c>
      <c r="L251" s="222"/>
      <c r="M251" s="370">
        <f t="shared" ref="M251:M256" si="59">M250*$S$108</f>
        <v>3244.2628320000003</v>
      </c>
      <c r="N251" s="222"/>
      <c r="O251" s="370">
        <f t="shared" ref="O251:O256" si="60">O250*$S$108</f>
        <v>2196.5005719999999</v>
      </c>
      <c r="P251" s="223"/>
      <c r="Q251" s="370">
        <f t="shared" ref="Q251:Q256" si="61">Q250*$S$108</f>
        <v>4292.0250919999999</v>
      </c>
      <c r="R251" s="97"/>
      <c r="S251" s="97"/>
      <c r="T251" s="97"/>
    </row>
    <row r="252" spans="8:20" ht="15.6" hidden="1">
      <c r="H252" s="184"/>
      <c r="I252" s="184" t="s">
        <v>189</v>
      </c>
      <c r="J252" s="215"/>
      <c r="K252" s="370">
        <f t="shared" si="58"/>
        <v>1742.8694585640003</v>
      </c>
      <c r="L252" s="222"/>
      <c r="M252" s="370">
        <f t="shared" si="59"/>
        <v>3380.5218709440005</v>
      </c>
      <c r="N252" s="222"/>
      <c r="O252" s="370">
        <f t="shared" si="60"/>
        <v>2288.7535960240002</v>
      </c>
      <c r="P252" s="223"/>
      <c r="Q252" s="370">
        <f t="shared" si="61"/>
        <v>4472.2901458639999</v>
      </c>
      <c r="R252" s="97"/>
      <c r="S252" s="97"/>
      <c r="T252" s="97"/>
    </row>
    <row r="253" spans="8:20" ht="15.6" hidden="1">
      <c r="H253" s="184"/>
      <c r="I253" s="184" t="s">
        <v>190</v>
      </c>
      <c r="J253" s="215"/>
      <c r="K253" s="370">
        <f t="shared" si="58"/>
        <v>1816.0699758236883</v>
      </c>
      <c r="L253" s="222"/>
      <c r="M253" s="370">
        <f t="shared" si="59"/>
        <v>3522.5037895236487</v>
      </c>
      <c r="N253" s="222"/>
      <c r="O253" s="370">
        <f t="shared" si="60"/>
        <v>2384.8812470570083</v>
      </c>
      <c r="P253" s="223"/>
      <c r="Q253" s="370">
        <f t="shared" si="61"/>
        <v>4660.1263319902882</v>
      </c>
      <c r="R253" s="97"/>
      <c r="S253" s="97"/>
      <c r="T253" s="97"/>
    </row>
    <row r="254" spans="8:20" ht="15.6" hidden="1">
      <c r="H254" s="184"/>
      <c r="I254" s="184" t="s">
        <v>208</v>
      </c>
      <c r="J254" s="215"/>
      <c r="K254" s="370">
        <f t="shared" si="58"/>
        <v>1892.3449148082832</v>
      </c>
      <c r="L254" s="222"/>
      <c r="M254" s="370">
        <f t="shared" si="59"/>
        <v>3670.4489486836419</v>
      </c>
      <c r="N254" s="222"/>
      <c r="O254" s="370">
        <f t="shared" si="60"/>
        <v>2485.0462594334026</v>
      </c>
      <c r="P254" s="223"/>
      <c r="Q254" s="370">
        <f t="shared" si="61"/>
        <v>4855.8516379338807</v>
      </c>
      <c r="R254" s="97"/>
      <c r="S254" s="97"/>
      <c r="T254" s="97"/>
    </row>
    <row r="255" spans="8:20" ht="15.6" hidden="1">
      <c r="H255" s="184"/>
      <c r="I255" s="184" t="s">
        <v>277</v>
      </c>
      <c r="J255" s="215"/>
      <c r="K255" s="370">
        <f t="shared" si="58"/>
        <v>1971.8234012302312</v>
      </c>
      <c r="L255" s="222"/>
      <c r="M255" s="370">
        <f t="shared" si="59"/>
        <v>3824.6078045283548</v>
      </c>
      <c r="N255" s="222"/>
      <c r="O255" s="370">
        <f t="shared" si="60"/>
        <v>2589.4182023296057</v>
      </c>
      <c r="P255" s="223"/>
      <c r="Q255" s="370">
        <f t="shared" si="61"/>
        <v>5059.7974067271043</v>
      </c>
      <c r="R255" s="97"/>
      <c r="S255" s="97"/>
      <c r="T255" s="97"/>
    </row>
    <row r="256" spans="8:20" ht="15.6" hidden="1">
      <c r="H256" s="184"/>
      <c r="I256" s="184" t="s">
        <v>278</v>
      </c>
      <c r="J256" s="221"/>
      <c r="K256" s="370">
        <f t="shared" si="58"/>
        <v>2054.6399840819008</v>
      </c>
      <c r="L256" s="222"/>
      <c r="M256" s="370">
        <f t="shared" si="59"/>
        <v>3985.241332318546</v>
      </c>
      <c r="N256" s="222"/>
      <c r="O256" s="370">
        <f t="shared" si="60"/>
        <v>2698.1737668274491</v>
      </c>
      <c r="P256" s="223"/>
      <c r="Q256" s="370">
        <f t="shared" si="61"/>
        <v>5272.308897809643</v>
      </c>
      <c r="R256" s="97"/>
      <c r="S256" s="97"/>
      <c r="T256" s="97"/>
    </row>
    <row r="257" spans="9:20" ht="15.6" hidden="1">
      <c r="I257" s="211"/>
      <c r="J257" s="221"/>
      <c r="K257" s="214"/>
      <c r="L257" s="222"/>
      <c r="M257" s="214"/>
      <c r="N257" s="222"/>
      <c r="O257" s="214"/>
      <c r="P257" s="223"/>
      <c r="Q257" s="214"/>
      <c r="R257" s="97"/>
      <c r="S257" s="97"/>
      <c r="T257" s="97"/>
    </row>
    <row r="258" spans="9:20" hidden="1"/>
    <row r="259" spans="9:20" hidden="1"/>
    <row r="260" spans="9:20" hidden="1"/>
  </sheetData>
  <sheetProtection selectLockedCells="1"/>
  <mergeCells count="68">
    <mergeCell ref="A80:A84"/>
    <mergeCell ref="C80:D80"/>
    <mergeCell ref="C82:D82"/>
    <mergeCell ref="C84:D84"/>
    <mergeCell ref="A85:I86"/>
    <mergeCell ref="C68:F68"/>
    <mergeCell ref="C69:F69"/>
    <mergeCell ref="C72:H72"/>
    <mergeCell ref="A74:A78"/>
    <mergeCell ref="C74:D74"/>
    <mergeCell ref="C76:D76"/>
    <mergeCell ref="C78:D78"/>
    <mergeCell ref="A39:A43"/>
    <mergeCell ref="C39:D39"/>
    <mergeCell ref="C41:D41"/>
    <mergeCell ref="C43:D43"/>
    <mergeCell ref="A33:A37"/>
    <mergeCell ref="C33:D33"/>
    <mergeCell ref="C35:D35"/>
    <mergeCell ref="C37:D37"/>
    <mergeCell ref="A13:A17"/>
    <mergeCell ref="C13:D13"/>
    <mergeCell ref="C15:D15"/>
    <mergeCell ref="C17:D17"/>
    <mergeCell ref="A19:A23"/>
    <mergeCell ref="C19:D19"/>
    <mergeCell ref="C21:D21"/>
    <mergeCell ref="C23:D23"/>
    <mergeCell ref="A59:A63"/>
    <mergeCell ref="C59:D59"/>
    <mergeCell ref="C61:D61"/>
    <mergeCell ref="C63:D63"/>
    <mergeCell ref="C46:F46"/>
    <mergeCell ref="A53:A57"/>
    <mergeCell ref="C53:D53"/>
    <mergeCell ref="C55:D55"/>
    <mergeCell ref="C57:D57"/>
    <mergeCell ref="C47:F47"/>
    <mergeCell ref="C48:F48"/>
    <mergeCell ref="C51:H51"/>
    <mergeCell ref="C3:I3"/>
    <mergeCell ref="C11:H11"/>
    <mergeCell ref="C26:F26"/>
    <mergeCell ref="C27:F27"/>
    <mergeCell ref="C28:F28"/>
    <mergeCell ref="C31:H31"/>
    <mergeCell ref="C6:F6"/>
    <mergeCell ref="C7:F7"/>
    <mergeCell ref="C8:F8"/>
    <mergeCell ref="C67:F67"/>
    <mergeCell ref="G46:H46"/>
    <mergeCell ref="G26:H26"/>
    <mergeCell ref="G6:H6"/>
    <mergeCell ref="G67:H67"/>
    <mergeCell ref="C88:F88"/>
    <mergeCell ref="C89:F89"/>
    <mergeCell ref="C90:F90"/>
    <mergeCell ref="C93:H93"/>
    <mergeCell ref="A95:A99"/>
    <mergeCell ref="C95:D95"/>
    <mergeCell ref="C97:D97"/>
    <mergeCell ref="C99:D99"/>
    <mergeCell ref="G88:H88"/>
    <mergeCell ref="U121:W121"/>
    <mergeCell ref="A101:A105"/>
    <mergeCell ref="C101:D101"/>
    <mergeCell ref="C103:D103"/>
    <mergeCell ref="C105:D105"/>
  </mergeCells>
  <phoneticPr fontId="63" type="noConversion"/>
  <dataValidations count="5">
    <dataValidation type="list" allowBlank="1" showInputMessage="1" showErrorMessage="1" sqref="K21 M21 O21 Q21 S21 K35 M35 O35 Q35 S35 K41 M41 O41 Q41 S41 K55 M55 O55 Q55 S55 K61 M61 O61 Q61 S61 K82 M82 O82 Q82 S82 K103 M103 O103 Q103 S103 K76 M76 O76 Q76 S76 K97 M97 O97 Q97 S97 K15 M15 O15 Q15 S15" xr:uid="{00000000-0002-0000-0300-000000000000}">
      <formula1>$I$111:$I$118</formula1>
    </dataValidation>
    <dataValidation type="list" allowBlank="1" showInputMessage="1" showErrorMessage="1" sqref="K19 M19 O19 Q19 S19 K39 M39 O39 Q39 S39 K59 M59 O59 Q59 S59 K101 M101 O101 Q101 S101 K95 M95 O95 Q95 S95 K74 M74 O74 Q74 S74 K80 M80 O80 Q80 S80 K53 M53 O53 Q53 S53 K33 M33 O33 Q33 S33 K13 M13 O13 Q13 S13" xr:uid="{00000000-0002-0000-0300-000001000000}">
      <formula1>$I$129:$I$136</formula1>
    </dataValidation>
    <dataValidation type="list" allowBlank="1" showInputMessage="1" showErrorMessage="1" sqref="K30 S92 M92 Q92 O92 K92 S50 M50 Q50 O50 K50 S30 Q10:Q11 M10:M11 M30 Q30 O30 K10:K11 S10:S11 O10:O11 S71 M71 Q71 O71 K71" xr:uid="{00000000-0002-0000-0300-000002000000}">
      <formula1>$I$120:$I$125</formula1>
    </dataValidation>
    <dataValidation type="list" allowBlank="1" showInputMessage="1" showErrorMessage="1" sqref="I67 I88 I46 I26 I6" xr:uid="{00000000-0002-0000-0300-000003000000}">
      <formula1>$S$109:$S$110</formula1>
    </dataValidation>
    <dataValidation type="list" allowBlank="1" showInputMessage="1" showErrorMessage="1" sqref="K23 K37 M37 S37 Q37 O37 M23 S23 Q23 O23 K43 K57 M57 S57 Q57 O57 M43 S43 Q43 O43 K63 K84 M84 S84 Q84 O84 M63 S63 Q63 O63 K105 K78 M78 S78 Q78 O78 M105 S105 Q105 O105 K99 M99 S99 Q99 O99 K17 M17 S17 Q17 O17" xr:uid="{00000000-0002-0000-0300-000005000000}">
      <formula1>$I$120:$I$127</formula1>
    </dataValidation>
  </dataValidations>
  <pageMargins left="0.25" right="0.25" top="1" bottom="1" header="0.5" footer="0.5"/>
  <pageSetup orientation="portrait" horizontalDpi="1200" verticalDpi="1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O55"/>
  <sheetViews>
    <sheetView topLeftCell="A7" workbookViewId="0">
      <selection activeCell="B18" sqref="B18:K18"/>
    </sheetView>
  </sheetViews>
  <sheetFormatPr defaultColWidth="8.85546875" defaultRowHeight="12.6"/>
  <cols>
    <col min="1" max="1" width="4.85546875" bestFit="1" customWidth="1"/>
    <col min="2" max="2" width="10.42578125" bestFit="1" customWidth="1"/>
    <col min="4" max="4" width="7.42578125" bestFit="1" customWidth="1"/>
    <col min="5" max="5" width="7.85546875" bestFit="1" customWidth="1"/>
    <col min="6" max="6" width="8.140625" bestFit="1" customWidth="1"/>
    <col min="7" max="7" width="8.42578125" bestFit="1" customWidth="1"/>
    <col min="8" max="8" width="6.42578125" bestFit="1" customWidth="1"/>
    <col min="9" max="9" width="8.140625" bestFit="1" customWidth="1"/>
    <col min="10" max="10" width="5.85546875" bestFit="1" customWidth="1"/>
    <col min="11" max="11" width="13.85546875" bestFit="1" customWidth="1"/>
    <col min="12" max="12" width="11.42578125" bestFit="1" customWidth="1"/>
    <col min="13" max="13" width="7.85546875" bestFit="1" customWidth="1"/>
    <col min="14" max="14" width="3.140625" customWidth="1"/>
  </cols>
  <sheetData>
    <row r="1" spans="1:15" ht="12.95" thickBot="1"/>
    <row r="2" spans="1:15" ht="15.6">
      <c r="A2" s="451" t="s">
        <v>286</v>
      </c>
      <c r="B2" s="452"/>
      <c r="C2" s="452"/>
      <c r="D2" s="452"/>
      <c r="E2" s="452"/>
      <c r="F2" s="452"/>
      <c r="G2" s="452"/>
      <c r="H2" s="452"/>
      <c r="I2" s="452"/>
      <c r="J2" s="452"/>
      <c r="K2" s="452"/>
      <c r="L2" s="452"/>
      <c r="M2" s="453"/>
    </row>
    <row r="3" spans="1:15" ht="15.95" thickBot="1">
      <c r="A3" s="454" t="s">
        <v>287</v>
      </c>
      <c r="B3" s="455"/>
      <c r="C3" s="455"/>
      <c r="D3" s="455"/>
      <c r="E3" s="455"/>
      <c r="F3" s="455"/>
      <c r="G3" s="455"/>
      <c r="H3" s="455"/>
      <c r="I3" s="455"/>
      <c r="J3" s="455"/>
      <c r="K3" s="455"/>
      <c r="L3" s="455"/>
      <c r="M3" s="456"/>
    </row>
    <row r="4" spans="1:15" ht="12.95" thickBot="1"/>
    <row r="5" spans="1:15" ht="15" thickTop="1" thickBot="1">
      <c r="A5" s="457" t="s">
        <v>288</v>
      </c>
      <c r="B5" s="458"/>
      <c r="C5" s="458"/>
      <c r="D5" s="458"/>
      <c r="E5" s="458"/>
      <c r="F5" s="458"/>
      <c r="G5" s="458"/>
      <c r="H5" s="458"/>
      <c r="I5" s="458"/>
      <c r="J5" s="458"/>
      <c r="K5" s="458"/>
      <c r="L5" s="458"/>
      <c r="M5" s="458"/>
    </row>
    <row r="6" spans="1:15" ht="15" thickTop="1" thickBot="1">
      <c r="A6" s="254"/>
      <c r="B6" s="255"/>
      <c r="C6" s="255"/>
      <c r="D6" s="255"/>
      <c r="E6" s="459" t="s">
        <v>289</v>
      </c>
      <c r="F6" s="459"/>
      <c r="G6" s="459"/>
      <c r="H6" s="459" t="s">
        <v>290</v>
      </c>
      <c r="I6" s="459"/>
      <c r="J6" s="459"/>
      <c r="K6" s="255"/>
      <c r="L6" s="255"/>
      <c r="M6" s="255"/>
    </row>
    <row r="7" spans="1:15" ht="42.95" thickTop="1" thickBot="1">
      <c r="A7" s="405" t="s">
        <v>233</v>
      </c>
      <c r="B7" s="406" t="s">
        <v>291</v>
      </c>
      <c r="C7" s="406" t="s">
        <v>292</v>
      </c>
      <c r="D7" s="321" t="s">
        <v>293</v>
      </c>
      <c r="E7" s="406" t="s">
        <v>294</v>
      </c>
      <c r="F7" s="406" t="s">
        <v>295</v>
      </c>
      <c r="G7" s="322" t="s">
        <v>296</v>
      </c>
      <c r="H7" s="406" t="s">
        <v>297</v>
      </c>
      <c r="I7" s="406" t="s">
        <v>298</v>
      </c>
      <c r="J7" s="322" t="s">
        <v>299</v>
      </c>
      <c r="K7" s="406" t="s">
        <v>300</v>
      </c>
      <c r="L7" s="321" t="s">
        <v>301</v>
      </c>
      <c r="M7" s="323" t="s">
        <v>302</v>
      </c>
      <c r="O7" s="252"/>
    </row>
    <row r="8" spans="1:15" ht="29.1" thickTop="1" thickBot="1">
      <c r="A8" s="259">
        <v>1</v>
      </c>
      <c r="B8" s="260" t="s">
        <v>303</v>
      </c>
      <c r="C8" s="256">
        <v>1</v>
      </c>
      <c r="D8" s="257">
        <v>500</v>
      </c>
      <c r="E8" s="256">
        <v>4</v>
      </c>
      <c r="F8" s="261">
        <v>180</v>
      </c>
      <c r="G8" s="258">
        <f>ROUND(+E8*F8,)</f>
        <v>720</v>
      </c>
      <c r="H8" s="265">
        <f>+E8+1</f>
        <v>5</v>
      </c>
      <c r="I8" s="257">
        <v>40</v>
      </c>
      <c r="J8" s="258">
        <f>+H8*I8</f>
        <v>200</v>
      </c>
      <c r="K8" s="257">
        <v>0</v>
      </c>
      <c r="L8" s="257">
        <v>300</v>
      </c>
      <c r="M8" s="262">
        <f>ROUND(C8*SUM(D8,G8,J8,L8,K8),)</f>
        <v>1720</v>
      </c>
      <c r="O8" s="393">
        <f>SUM(M8:M9,M12:M13,M16:M17)</f>
        <v>11738</v>
      </c>
    </row>
    <row r="9" spans="1:15" ht="28.5" thickTop="1">
      <c r="A9" s="263">
        <v>1</v>
      </c>
      <c r="B9" s="260" t="s">
        <v>304</v>
      </c>
      <c r="C9" s="265">
        <v>1</v>
      </c>
      <c r="D9" s="257">
        <v>500</v>
      </c>
      <c r="E9" s="265">
        <v>4</v>
      </c>
      <c r="F9" s="261">
        <v>180</v>
      </c>
      <c r="G9" s="324">
        <f>ROUND(+E9*F9,)</f>
        <v>720</v>
      </c>
      <c r="H9" s="265">
        <f>+E9+1</f>
        <v>5</v>
      </c>
      <c r="I9" s="266">
        <v>40</v>
      </c>
      <c r="J9" s="267">
        <f>+H9*I9</f>
        <v>200</v>
      </c>
      <c r="K9" s="266">
        <v>0</v>
      </c>
      <c r="L9" s="266">
        <v>900</v>
      </c>
      <c r="M9" s="268">
        <f>ROUND(C9*SUM(D9,G9,J9,L9,K9),)</f>
        <v>2320</v>
      </c>
    </row>
    <row r="10" spans="1:15" ht="14.1">
      <c r="A10" s="263">
        <v>1</v>
      </c>
      <c r="B10" s="264" t="s">
        <v>305</v>
      </c>
      <c r="C10" s="265">
        <v>1</v>
      </c>
      <c r="D10" s="266">
        <v>0</v>
      </c>
      <c r="E10" s="265">
        <v>0</v>
      </c>
      <c r="F10" s="266">
        <v>0</v>
      </c>
      <c r="G10" s="324">
        <f>ROUND(+E10*F10,)</f>
        <v>0</v>
      </c>
      <c r="H10" s="265">
        <v>2</v>
      </c>
      <c r="I10" s="266">
        <v>40</v>
      </c>
      <c r="J10" s="267">
        <f>+H10*I10</f>
        <v>80</v>
      </c>
      <c r="K10" s="266">
        <f>300*0.7</f>
        <v>210</v>
      </c>
      <c r="L10" s="266">
        <v>0</v>
      </c>
      <c r="M10" s="268">
        <f>C10*SUM(D10,G10,J10,L10,K10)</f>
        <v>290</v>
      </c>
    </row>
    <row r="11" spans="1:15" ht="14.45" thickBot="1">
      <c r="A11" s="314"/>
      <c r="B11" s="315"/>
      <c r="C11" s="316"/>
      <c r="D11" s="317"/>
      <c r="E11" s="316"/>
      <c r="F11" s="317"/>
      <c r="G11" s="318"/>
      <c r="H11" s="316"/>
      <c r="I11" s="317"/>
      <c r="J11" s="318"/>
      <c r="K11" s="317"/>
      <c r="L11" s="319">
        <v>375</v>
      </c>
      <c r="M11" s="320">
        <f>ROUND(SUM(M8:M10),0)</f>
        <v>4330</v>
      </c>
    </row>
    <row r="12" spans="1:15" ht="42.95" thickTop="1" thickBot="1">
      <c r="A12" s="259">
        <v>2</v>
      </c>
      <c r="B12" s="260" t="s">
        <v>306</v>
      </c>
      <c r="C12" s="256">
        <v>1</v>
      </c>
      <c r="D12" s="257">
        <f>ROUND(+D8*1.03,)</f>
        <v>515</v>
      </c>
      <c r="E12" s="256">
        <v>4</v>
      </c>
      <c r="F12" s="261">
        <f>ROUND(+F8*1.03,)</f>
        <v>185</v>
      </c>
      <c r="G12" s="258">
        <f>ROUND(+E12*F12,)</f>
        <v>740</v>
      </c>
      <c r="H12" s="256">
        <f>+E12+1</f>
        <v>5</v>
      </c>
      <c r="I12" s="257">
        <v>40</v>
      </c>
      <c r="J12" s="258">
        <f>+H12*I12</f>
        <v>200</v>
      </c>
      <c r="K12" s="257">
        <v>0</v>
      </c>
      <c r="L12" s="257">
        <v>200</v>
      </c>
      <c r="M12" s="262">
        <f>ROUND(C12*SUM(D12,G12,J12,L12,K12),)</f>
        <v>1655</v>
      </c>
    </row>
    <row r="13" spans="1:15" ht="42.6" thickTop="1">
      <c r="A13" s="263">
        <v>2</v>
      </c>
      <c r="B13" s="260" t="s">
        <v>307</v>
      </c>
      <c r="C13" s="256">
        <v>1</v>
      </c>
      <c r="D13" s="257">
        <f>ROUND(+D9*1.03,)</f>
        <v>515</v>
      </c>
      <c r="E13" s="256">
        <v>4</v>
      </c>
      <c r="F13" s="261">
        <f>ROUND(+F9*1.03,)</f>
        <v>185</v>
      </c>
      <c r="G13" s="258">
        <f>ROUND(+E13*F13,)</f>
        <v>740</v>
      </c>
      <c r="H13" s="256">
        <f>+E13+1</f>
        <v>5</v>
      </c>
      <c r="I13" s="257">
        <v>40</v>
      </c>
      <c r="J13" s="258">
        <f>+H13*I13</f>
        <v>200</v>
      </c>
      <c r="K13" s="257">
        <v>0</v>
      </c>
      <c r="L13" s="257">
        <v>800</v>
      </c>
      <c r="M13" s="268">
        <f>ROUND(C13*SUM(D13,G13,J13,L13,K13),)</f>
        <v>2255</v>
      </c>
    </row>
    <row r="14" spans="1:15" ht="14.1">
      <c r="A14" s="269">
        <v>2</v>
      </c>
      <c r="B14" s="264" t="s">
        <v>305</v>
      </c>
      <c r="C14" s="271">
        <v>1</v>
      </c>
      <c r="D14" s="272">
        <f>ROUND(+D10*1.03,)</f>
        <v>0</v>
      </c>
      <c r="E14" s="271">
        <v>0</v>
      </c>
      <c r="F14" s="272">
        <f>ROUND(+F10*1.03,)</f>
        <v>0</v>
      </c>
      <c r="G14" s="273">
        <f>ROUND(+E14*F14,)</f>
        <v>0</v>
      </c>
      <c r="H14" s="271">
        <v>2</v>
      </c>
      <c r="I14" s="272">
        <v>40</v>
      </c>
      <c r="J14" s="273">
        <f>+H14*I14</f>
        <v>80</v>
      </c>
      <c r="K14" s="266">
        <f>300*0.7</f>
        <v>210</v>
      </c>
      <c r="L14" s="272">
        <v>0</v>
      </c>
      <c r="M14" s="274">
        <f>ROUND(C14*SUM(D14,G14,J14,L14,K14),)</f>
        <v>290</v>
      </c>
    </row>
    <row r="15" spans="1:15" ht="14.45" thickBot="1">
      <c r="A15" s="275"/>
      <c r="B15" s="276"/>
      <c r="C15" s="277"/>
      <c r="D15" s="278"/>
      <c r="E15" s="277"/>
      <c r="F15" s="278"/>
      <c r="G15" s="279"/>
      <c r="H15" s="277"/>
      <c r="I15" s="278"/>
      <c r="J15" s="279"/>
      <c r="K15" s="278"/>
      <c r="L15" s="280" t="s">
        <v>308</v>
      </c>
      <c r="M15" s="281">
        <f>ROUND(SUM(M12:M14),0)</f>
        <v>4200</v>
      </c>
    </row>
    <row r="16" spans="1:15" ht="14.45" thickTop="1">
      <c r="A16" s="259">
        <v>3</v>
      </c>
      <c r="B16" s="257" t="s">
        <v>309</v>
      </c>
      <c r="C16" s="256">
        <v>1</v>
      </c>
      <c r="D16" s="257">
        <f>ROUND(+D12*1.03,)</f>
        <v>530</v>
      </c>
      <c r="E16" s="256">
        <v>4</v>
      </c>
      <c r="F16" s="257">
        <f>ROUND(+F12*1.03,)</f>
        <v>191</v>
      </c>
      <c r="G16" s="258">
        <f>ROUND(+E16*F16,)</f>
        <v>764</v>
      </c>
      <c r="H16" s="256">
        <f>+E16+1</f>
        <v>5</v>
      </c>
      <c r="I16" s="257">
        <v>40</v>
      </c>
      <c r="J16" s="258">
        <f>+H16*I16</f>
        <v>200</v>
      </c>
      <c r="K16" s="257">
        <v>0</v>
      </c>
      <c r="L16" s="257">
        <v>200</v>
      </c>
      <c r="M16" s="262">
        <f>ROUND(C16*SUM(D16,G16,J16,L16,K16),)</f>
        <v>1694</v>
      </c>
    </row>
    <row r="17" spans="1:13" ht="14.1">
      <c r="A17" s="263">
        <v>3</v>
      </c>
      <c r="B17" s="264"/>
      <c r="C17" s="265">
        <v>1</v>
      </c>
      <c r="D17" s="266">
        <f>ROUND(+D13*1.03,)</f>
        <v>530</v>
      </c>
      <c r="E17" s="265">
        <v>4</v>
      </c>
      <c r="F17" s="266">
        <f>ROUND(+F13*1.03,)</f>
        <v>191</v>
      </c>
      <c r="G17" s="267">
        <f>ROUND(+E17*F17,)</f>
        <v>764</v>
      </c>
      <c r="H17" s="265">
        <f>+E17+1</f>
        <v>5</v>
      </c>
      <c r="I17" s="266">
        <v>40</v>
      </c>
      <c r="J17" s="267">
        <f>+H17*I17</f>
        <v>200</v>
      </c>
      <c r="K17" s="266">
        <v>0</v>
      </c>
      <c r="L17" s="266">
        <v>600</v>
      </c>
      <c r="M17" s="268">
        <f>ROUND(C17*SUM(D17,G17,J17,L17,K17),)</f>
        <v>2094</v>
      </c>
    </row>
    <row r="18" spans="1:13" ht="14.1">
      <c r="A18" s="269">
        <v>3</v>
      </c>
      <c r="B18" s="264" t="s">
        <v>305</v>
      </c>
      <c r="C18" s="271">
        <v>1</v>
      </c>
      <c r="D18" s="272">
        <f>ROUND(+D14*1.03,)</f>
        <v>0</v>
      </c>
      <c r="E18" s="271">
        <v>0</v>
      </c>
      <c r="F18" s="272">
        <f>ROUND(+F14*1.03,)</f>
        <v>0</v>
      </c>
      <c r="G18" s="273">
        <f>ROUND(+E18*F18,)</f>
        <v>0</v>
      </c>
      <c r="H18" s="271">
        <v>2</v>
      </c>
      <c r="I18" s="272">
        <v>40</v>
      </c>
      <c r="J18" s="273">
        <f>+H18*I18</f>
        <v>80</v>
      </c>
      <c r="K18" s="266">
        <f>300*0.7</f>
        <v>210</v>
      </c>
      <c r="L18" s="272">
        <v>0</v>
      </c>
      <c r="M18" s="274">
        <f>ROUND(C18*SUM(D18,G18,J18,L18,K18),)</f>
        <v>290</v>
      </c>
    </row>
    <row r="19" spans="1:13" ht="14.45" thickBot="1">
      <c r="A19" s="282"/>
      <c r="B19" s="283"/>
      <c r="C19" s="284"/>
      <c r="D19" s="285"/>
      <c r="E19" s="284"/>
      <c r="F19" s="285"/>
      <c r="G19" s="286"/>
      <c r="H19" s="284"/>
      <c r="I19" s="285"/>
      <c r="J19" s="286"/>
      <c r="K19" s="312"/>
      <c r="L19" s="287" t="s">
        <v>310</v>
      </c>
      <c r="M19" s="288">
        <f>ROUND(SUM(M16:M18),0)</f>
        <v>4078</v>
      </c>
    </row>
    <row r="20" spans="1:13" ht="14.45" thickTop="1">
      <c r="A20" s="289">
        <v>4</v>
      </c>
      <c r="B20" s="290"/>
      <c r="C20" s="291">
        <v>0</v>
      </c>
      <c r="D20" s="292">
        <f>ROUND(+D16*1.03,)</f>
        <v>546</v>
      </c>
      <c r="E20" s="291">
        <v>0</v>
      </c>
      <c r="F20" s="292">
        <f>ROUND(+F16*1.03,)</f>
        <v>197</v>
      </c>
      <c r="G20" s="293">
        <f>ROUND(+E20*F20,)</f>
        <v>0</v>
      </c>
      <c r="H20" s="294">
        <f>+E20+1</f>
        <v>1</v>
      </c>
      <c r="I20" s="292">
        <v>40</v>
      </c>
      <c r="J20" s="310">
        <f>+H20*I20</f>
        <v>40</v>
      </c>
      <c r="K20" s="310">
        <v>0</v>
      </c>
      <c r="L20" s="310">
        <v>0</v>
      </c>
      <c r="M20" s="295">
        <f>ROUND(C20*SUM(D20,G20,J20,L20,K20),)</f>
        <v>0</v>
      </c>
    </row>
    <row r="21" spans="1:13" ht="14.1">
      <c r="A21" s="263">
        <v>4</v>
      </c>
      <c r="B21" s="264"/>
      <c r="C21" s="265">
        <v>0</v>
      </c>
      <c r="D21" s="266">
        <f>ROUND(+D17*1.03,)</f>
        <v>546</v>
      </c>
      <c r="E21" s="265">
        <v>0</v>
      </c>
      <c r="F21" s="266">
        <f>ROUND(+F17*1.03,)</f>
        <v>197</v>
      </c>
      <c r="G21" s="267">
        <f>ROUND(+E21*F21,)</f>
        <v>0</v>
      </c>
      <c r="H21" s="265">
        <f>+E21+1</f>
        <v>1</v>
      </c>
      <c r="I21" s="266">
        <v>40</v>
      </c>
      <c r="J21" s="311">
        <f>+H21*I21</f>
        <v>40</v>
      </c>
      <c r="K21" s="311">
        <v>0</v>
      </c>
      <c r="L21" s="311">
        <v>0</v>
      </c>
      <c r="M21" s="268">
        <f>ROUND(C21*SUM(D21,G21,J21,L21,K21),)</f>
        <v>0</v>
      </c>
    </row>
    <row r="22" spans="1:13" ht="14.1">
      <c r="A22" s="269">
        <v>4</v>
      </c>
      <c r="B22" s="270"/>
      <c r="C22" s="271">
        <v>0</v>
      </c>
      <c r="D22" s="272">
        <f>ROUND(+D18*1.03,)</f>
        <v>0</v>
      </c>
      <c r="E22" s="271">
        <v>0</v>
      </c>
      <c r="F22" s="272">
        <f>ROUND(+F18*1.03,)</f>
        <v>0</v>
      </c>
      <c r="G22" s="273">
        <f>ROUND(+E22*F22,)</f>
        <v>0</v>
      </c>
      <c r="H22" s="271">
        <f>+E22+1</f>
        <v>1</v>
      </c>
      <c r="I22" s="272">
        <v>40</v>
      </c>
      <c r="J22" s="273">
        <f>+H22*I22</f>
        <v>40</v>
      </c>
      <c r="K22" s="313">
        <v>0</v>
      </c>
      <c r="L22" s="272">
        <v>0</v>
      </c>
      <c r="M22" s="274">
        <f>ROUND(C22*SUM(D22,G22,J22,L22,K22),)</f>
        <v>0</v>
      </c>
    </row>
    <row r="23" spans="1:13" ht="14.45" thickBot="1">
      <c r="A23" s="296"/>
      <c r="B23" s="297"/>
      <c r="C23" s="298"/>
      <c r="D23" s="299"/>
      <c r="E23" s="298"/>
      <c r="F23" s="299"/>
      <c r="G23" s="300"/>
      <c r="H23" s="298"/>
      <c r="I23" s="299"/>
      <c r="J23" s="300"/>
      <c r="K23" s="299"/>
      <c r="L23" s="301" t="s">
        <v>311</v>
      </c>
      <c r="M23" s="302">
        <f>ROUND(SUM(M20:M22),0)</f>
        <v>0</v>
      </c>
    </row>
    <row r="24" spans="1:13" ht="14.45" thickTop="1">
      <c r="A24" s="259">
        <v>5</v>
      </c>
      <c r="B24" s="260"/>
      <c r="C24" s="256">
        <v>0</v>
      </c>
      <c r="D24" s="257">
        <f>ROUND(+D20*1.03,)</f>
        <v>562</v>
      </c>
      <c r="E24" s="256">
        <v>0</v>
      </c>
      <c r="F24" s="257">
        <f>ROUND(+F20*1.03,)</f>
        <v>203</v>
      </c>
      <c r="G24" s="258">
        <f>ROUND(+E24*F24,)</f>
        <v>0</v>
      </c>
      <c r="H24" s="256">
        <f>+E24+1</f>
        <v>1</v>
      </c>
      <c r="I24" s="257">
        <v>40</v>
      </c>
      <c r="J24" s="258">
        <f>+H24*I24</f>
        <v>40</v>
      </c>
      <c r="K24" s="257">
        <v>0</v>
      </c>
      <c r="L24" s="257">
        <v>0</v>
      </c>
      <c r="M24" s="262">
        <f>ROUND(C24*SUM(D24,G24,J24,L24,K24),)</f>
        <v>0</v>
      </c>
    </row>
    <row r="25" spans="1:13" ht="14.1">
      <c r="A25" s="263">
        <v>5</v>
      </c>
      <c r="B25" s="264"/>
      <c r="C25" s="265">
        <v>0</v>
      </c>
      <c r="D25" s="266">
        <f>ROUND(+D21*1.03,)</f>
        <v>562</v>
      </c>
      <c r="E25" s="265">
        <v>0</v>
      </c>
      <c r="F25" s="266">
        <f>ROUND(+F21*1.03,)</f>
        <v>203</v>
      </c>
      <c r="G25" s="267">
        <f>ROUND(+E25*F25,)</f>
        <v>0</v>
      </c>
      <c r="H25" s="265">
        <f>+E25+1</f>
        <v>1</v>
      </c>
      <c r="I25" s="266">
        <v>40</v>
      </c>
      <c r="J25" s="267">
        <f>+H25*I25</f>
        <v>40</v>
      </c>
      <c r="K25" s="266">
        <v>0</v>
      </c>
      <c r="L25" s="266">
        <v>0</v>
      </c>
      <c r="M25" s="268">
        <f>ROUND(C25*SUM(D25,G25,J25,L25,K25),)</f>
        <v>0</v>
      </c>
    </row>
    <row r="26" spans="1:13" ht="14.1">
      <c r="A26" s="269">
        <v>5</v>
      </c>
      <c r="B26" s="270"/>
      <c r="C26" s="271">
        <v>0</v>
      </c>
      <c r="D26" s="272">
        <f>ROUND(+D22*1.03,)</f>
        <v>0</v>
      </c>
      <c r="E26" s="271">
        <v>0</v>
      </c>
      <c r="F26" s="272">
        <f>ROUND(+F22*1.03,)</f>
        <v>0</v>
      </c>
      <c r="G26" s="273">
        <f>ROUND(+E26*F26,)</f>
        <v>0</v>
      </c>
      <c r="H26" s="271">
        <f>+E26+1</f>
        <v>1</v>
      </c>
      <c r="I26" s="272">
        <v>40</v>
      </c>
      <c r="J26" s="273">
        <f>+H26*I26</f>
        <v>40</v>
      </c>
      <c r="K26" s="272">
        <v>0</v>
      </c>
      <c r="L26" s="272">
        <v>0</v>
      </c>
      <c r="M26" s="274">
        <f>ROUND(C26*SUM(D26,G26,J26,L26,K26),)</f>
        <v>0</v>
      </c>
    </row>
    <row r="27" spans="1:13" ht="14.45" thickBot="1">
      <c r="A27" s="303"/>
      <c r="B27" s="304"/>
      <c r="C27" s="305"/>
      <c r="D27" s="306"/>
      <c r="E27" s="305"/>
      <c r="F27" s="305"/>
      <c r="G27" s="306"/>
      <c r="H27" s="305"/>
      <c r="I27" s="307"/>
      <c r="J27" s="307"/>
      <c r="K27" s="307"/>
      <c r="L27" s="308" t="s">
        <v>312</v>
      </c>
      <c r="M27" s="309">
        <f>ROUND(SUM(M24:M26),0)</f>
        <v>0</v>
      </c>
    </row>
    <row r="28" spans="1:13" ht="12.95" thickTop="1"/>
    <row r="29" spans="1:13" ht="12.95" thickBot="1"/>
    <row r="30" spans="1:13" ht="15.95" thickBot="1">
      <c r="A30" s="448" t="s">
        <v>313</v>
      </c>
      <c r="B30" s="449"/>
      <c r="C30" s="449"/>
      <c r="D30" s="449"/>
      <c r="E30" s="449"/>
      <c r="F30" s="449"/>
      <c r="G30" s="449"/>
      <c r="H30" s="449"/>
      <c r="I30" s="449"/>
      <c r="J30" s="449"/>
      <c r="K30" s="449"/>
      <c r="L30" s="449"/>
      <c r="M30" s="450"/>
    </row>
    <row r="31" spans="1:13" ht="12.95" thickBot="1"/>
    <row r="32" spans="1:13" ht="15" thickTop="1" thickBot="1">
      <c r="A32" s="445" t="s">
        <v>314</v>
      </c>
      <c r="B32" s="446"/>
      <c r="C32" s="446"/>
      <c r="D32" s="446"/>
      <c r="E32" s="446"/>
      <c r="F32" s="446"/>
      <c r="G32" s="446"/>
      <c r="H32" s="446"/>
      <c r="I32" s="446"/>
      <c r="J32" s="446"/>
      <c r="K32" s="446"/>
      <c r="L32" s="446"/>
      <c r="M32" s="446"/>
    </row>
    <row r="33" spans="1:13" ht="15" thickTop="1" thickBot="1">
      <c r="A33" s="325"/>
      <c r="B33" s="326"/>
      <c r="C33" s="326"/>
      <c r="D33" s="326"/>
      <c r="E33" s="447" t="s">
        <v>289</v>
      </c>
      <c r="F33" s="447"/>
      <c r="G33" s="447"/>
      <c r="H33" s="447" t="s">
        <v>290</v>
      </c>
      <c r="I33" s="447"/>
      <c r="J33" s="447"/>
      <c r="K33" s="326"/>
      <c r="L33" s="326"/>
      <c r="M33" s="326"/>
    </row>
    <row r="34" spans="1:13" ht="42.95" thickTop="1" thickBot="1">
      <c r="A34" s="403" t="s">
        <v>233</v>
      </c>
      <c r="B34" s="404" t="s">
        <v>291</v>
      </c>
      <c r="C34" s="404" t="s">
        <v>292</v>
      </c>
      <c r="D34" s="327" t="s">
        <v>293</v>
      </c>
      <c r="E34" s="404" t="s">
        <v>294</v>
      </c>
      <c r="F34" s="404" t="s">
        <v>295</v>
      </c>
      <c r="G34" s="328" t="s">
        <v>296</v>
      </c>
      <c r="H34" s="404" t="s">
        <v>297</v>
      </c>
      <c r="I34" s="404" t="s">
        <v>298</v>
      </c>
      <c r="J34" s="328" t="s">
        <v>299</v>
      </c>
      <c r="K34" s="404" t="s">
        <v>300</v>
      </c>
      <c r="L34" s="327" t="s">
        <v>301</v>
      </c>
      <c r="M34" s="329" t="s">
        <v>302</v>
      </c>
    </row>
    <row r="35" spans="1:13" ht="14.45" thickTop="1">
      <c r="A35" s="259">
        <v>1</v>
      </c>
      <c r="B35" s="260"/>
      <c r="C35" s="256">
        <v>0</v>
      </c>
      <c r="D35" s="257">
        <v>0</v>
      </c>
      <c r="E35" s="256">
        <v>0</v>
      </c>
      <c r="F35" s="261">
        <v>0</v>
      </c>
      <c r="G35" s="258">
        <f>ROUND(+E35*F35,)</f>
        <v>0</v>
      </c>
      <c r="H35" s="256">
        <f>+E35+1</f>
        <v>1</v>
      </c>
      <c r="I35" s="257">
        <v>40</v>
      </c>
      <c r="J35" s="258">
        <f>+H35*I35</f>
        <v>40</v>
      </c>
      <c r="K35" s="257">
        <v>0</v>
      </c>
      <c r="L35" s="257">
        <v>0</v>
      </c>
      <c r="M35" s="262">
        <f>ROUND(C35*SUM(D35,G35,J35,L35,K35),)</f>
        <v>0</v>
      </c>
    </row>
    <row r="36" spans="1:13" ht="14.1">
      <c r="A36" s="263">
        <v>1</v>
      </c>
      <c r="B36" s="264"/>
      <c r="C36" s="265">
        <v>0</v>
      </c>
      <c r="D36" s="266">
        <v>0</v>
      </c>
      <c r="E36" s="265">
        <v>0</v>
      </c>
      <c r="F36" s="266">
        <v>0</v>
      </c>
      <c r="G36" s="324">
        <f>ROUND(+E36*F36,)</f>
        <v>0</v>
      </c>
      <c r="H36" s="265">
        <f>+E36+1</f>
        <v>1</v>
      </c>
      <c r="I36" s="266">
        <v>40</v>
      </c>
      <c r="J36" s="267">
        <f>+H36*I36</f>
        <v>40</v>
      </c>
      <c r="K36" s="266">
        <v>0</v>
      </c>
      <c r="L36" s="266">
        <v>0</v>
      </c>
      <c r="M36" s="268">
        <f>ROUND(C36*SUM(D36,G36,J36,L36,K36),)</f>
        <v>0</v>
      </c>
    </row>
    <row r="37" spans="1:13" ht="14.1">
      <c r="A37" s="263">
        <v>1</v>
      </c>
      <c r="B37" s="264"/>
      <c r="C37" s="265">
        <v>0</v>
      </c>
      <c r="D37" s="266">
        <v>0</v>
      </c>
      <c r="E37" s="265">
        <v>0</v>
      </c>
      <c r="F37" s="266">
        <v>0</v>
      </c>
      <c r="G37" s="324">
        <f>ROUND(+E37*F37,)</f>
        <v>0</v>
      </c>
      <c r="H37" s="265">
        <f>+E37+1</f>
        <v>1</v>
      </c>
      <c r="I37" s="266">
        <v>40</v>
      </c>
      <c r="J37" s="267">
        <f>+H37*I37</f>
        <v>40</v>
      </c>
      <c r="K37" s="266">
        <v>0</v>
      </c>
      <c r="L37" s="266">
        <v>0</v>
      </c>
      <c r="M37" s="268">
        <f>C37*SUM(D37,G37,J37,L37,K37)</f>
        <v>0</v>
      </c>
    </row>
    <row r="38" spans="1:13" ht="14.45" thickBot="1">
      <c r="A38" s="330"/>
      <c r="B38" s="331"/>
      <c r="C38" s="332"/>
      <c r="D38" s="333"/>
      <c r="E38" s="332"/>
      <c r="F38" s="333"/>
      <c r="G38" s="334"/>
      <c r="H38" s="332"/>
      <c r="I38" s="333"/>
      <c r="J38" s="334"/>
      <c r="K38" s="333"/>
      <c r="L38" s="335" t="s">
        <v>315</v>
      </c>
      <c r="M38" s="336">
        <f>ROUND(SUM(M35:M37),0)</f>
        <v>0</v>
      </c>
    </row>
    <row r="39" spans="1:13" ht="14.45" thickTop="1">
      <c r="A39" s="259">
        <v>2</v>
      </c>
      <c r="B39" s="260"/>
      <c r="C39" s="256">
        <v>0</v>
      </c>
      <c r="D39" s="257">
        <f>ROUND(+D35*1.03,)</f>
        <v>0</v>
      </c>
      <c r="E39" s="256">
        <v>0</v>
      </c>
      <c r="F39" s="261">
        <f>ROUND(+F35*1.03,)</f>
        <v>0</v>
      </c>
      <c r="G39" s="258">
        <f>ROUND(+E39*F39,)</f>
        <v>0</v>
      </c>
      <c r="H39" s="256">
        <f>+E39+1</f>
        <v>1</v>
      </c>
      <c r="I39" s="257">
        <v>40</v>
      </c>
      <c r="J39" s="258">
        <f>+H39*I39</f>
        <v>40</v>
      </c>
      <c r="K39" s="257">
        <v>0</v>
      </c>
      <c r="L39" s="257">
        <v>0</v>
      </c>
      <c r="M39" s="262">
        <f>ROUND(C39*SUM(D39,G39,J39,L39,K39),)</f>
        <v>0</v>
      </c>
    </row>
    <row r="40" spans="1:13" ht="14.1">
      <c r="A40" s="263">
        <v>2</v>
      </c>
      <c r="B40" s="264"/>
      <c r="C40" s="265">
        <v>0</v>
      </c>
      <c r="D40" s="266">
        <f>ROUND(+D36*1.03,)</f>
        <v>0</v>
      </c>
      <c r="E40" s="265">
        <v>0</v>
      </c>
      <c r="F40" s="266">
        <f>ROUND(+F36*1.03,)</f>
        <v>0</v>
      </c>
      <c r="G40" s="267">
        <f>ROUND(+E40*F40,)</f>
        <v>0</v>
      </c>
      <c r="H40" s="265">
        <f>+E40+1</f>
        <v>1</v>
      </c>
      <c r="I40" s="266">
        <v>40</v>
      </c>
      <c r="J40" s="267">
        <f>+H40*I40</f>
        <v>40</v>
      </c>
      <c r="K40" s="266">
        <v>0</v>
      </c>
      <c r="L40" s="266">
        <v>0</v>
      </c>
      <c r="M40" s="268">
        <f>ROUND(C40*SUM(D40,G40,J40,L40,K40),)</f>
        <v>0</v>
      </c>
    </row>
    <row r="41" spans="1:13" ht="14.1">
      <c r="A41" s="269">
        <v>2</v>
      </c>
      <c r="B41" s="270"/>
      <c r="C41" s="271">
        <v>0</v>
      </c>
      <c r="D41" s="272">
        <f>ROUND(+D37*1.03,)</f>
        <v>0</v>
      </c>
      <c r="E41" s="271">
        <v>0</v>
      </c>
      <c r="F41" s="272">
        <f>ROUND(+F37*1.03,)</f>
        <v>0</v>
      </c>
      <c r="G41" s="273">
        <f>ROUND(+E41*F41,)</f>
        <v>0</v>
      </c>
      <c r="H41" s="271">
        <f>+E41+1</f>
        <v>1</v>
      </c>
      <c r="I41" s="272">
        <v>40</v>
      </c>
      <c r="J41" s="273">
        <f>+H41*I41</f>
        <v>40</v>
      </c>
      <c r="K41" s="272">
        <v>0</v>
      </c>
      <c r="L41" s="272">
        <v>0</v>
      </c>
      <c r="M41" s="274">
        <f>ROUND(C41*SUM(D41,G41,J41,L41,K41),)</f>
        <v>0</v>
      </c>
    </row>
    <row r="42" spans="1:13" ht="14.45" thickBot="1">
      <c r="A42" s="337"/>
      <c r="B42" s="338"/>
      <c r="C42" s="339"/>
      <c r="D42" s="340"/>
      <c r="E42" s="339"/>
      <c r="F42" s="340"/>
      <c r="G42" s="341"/>
      <c r="H42" s="339"/>
      <c r="I42" s="340"/>
      <c r="J42" s="341"/>
      <c r="K42" s="340"/>
      <c r="L42" s="342" t="s">
        <v>308</v>
      </c>
      <c r="M42" s="343">
        <f>ROUND(SUM(M39:M41),0)</f>
        <v>0</v>
      </c>
    </row>
    <row r="43" spans="1:13" ht="14.45" thickTop="1">
      <c r="A43" s="259">
        <v>3</v>
      </c>
      <c r="B43" s="260"/>
      <c r="C43" s="256">
        <v>0</v>
      </c>
      <c r="D43" s="257">
        <f>ROUND(+D39*1.03,)</f>
        <v>0</v>
      </c>
      <c r="E43" s="256">
        <v>0</v>
      </c>
      <c r="F43" s="257">
        <f>ROUND(+F39*1.03,)</f>
        <v>0</v>
      </c>
      <c r="G43" s="258">
        <f>ROUND(+E43*F43,)</f>
        <v>0</v>
      </c>
      <c r="H43" s="256">
        <f>+E43+1</f>
        <v>1</v>
      </c>
      <c r="I43" s="257">
        <v>40</v>
      </c>
      <c r="J43" s="258">
        <f>+H43*I43</f>
        <v>40</v>
      </c>
      <c r="K43" s="257">
        <v>0</v>
      </c>
      <c r="L43" s="257">
        <v>0</v>
      </c>
      <c r="M43" s="262">
        <f>ROUND(C43*SUM(D43,G43,J43,L43,K43),)</f>
        <v>0</v>
      </c>
    </row>
    <row r="44" spans="1:13" ht="14.1">
      <c r="A44" s="263">
        <v>3</v>
      </c>
      <c r="B44" s="264"/>
      <c r="C44" s="265">
        <v>0</v>
      </c>
      <c r="D44" s="266">
        <f>ROUND(+D40*1.03,)</f>
        <v>0</v>
      </c>
      <c r="E44" s="265">
        <v>0</v>
      </c>
      <c r="F44" s="266">
        <f>ROUND(+F40*1.03,)</f>
        <v>0</v>
      </c>
      <c r="G44" s="267">
        <f>ROUND(+E44*F44,)</f>
        <v>0</v>
      </c>
      <c r="H44" s="265">
        <f>+E44+1</f>
        <v>1</v>
      </c>
      <c r="I44" s="266">
        <v>40</v>
      </c>
      <c r="J44" s="267">
        <f>+H44*I44</f>
        <v>40</v>
      </c>
      <c r="K44" s="266">
        <v>0</v>
      </c>
      <c r="L44" s="266">
        <v>0</v>
      </c>
      <c r="M44" s="268">
        <f>ROUND(C44*SUM(D44,G44,J44,L44,K44),)</f>
        <v>0</v>
      </c>
    </row>
    <row r="45" spans="1:13" ht="14.1">
      <c r="A45" s="269">
        <v>3</v>
      </c>
      <c r="B45" s="270"/>
      <c r="C45" s="271">
        <v>0</v>
      </c>
      <c r="D45" s="272">
        <f>ROUND(+D41*1.03,)</f>
        <v>0</v>
      </c>
      <c r="E45" s="271">
        <v>0</v>
      </c>
      <c r="F45" s="272">
        <f>ROUND(+F41*1.03,)</f>
        <v>0</v>
      </c>
      <c r="G45" s="273">
        <f>ROUND(+E45*F45,)</f>
        <v>0</v>
      </c>
      <c r="H45" s="271">
        <f>+E45+1</f>
        <v>1</v>
      </c>
      <c r="I45" s="272">
        <v>40</v>
      </c>
      <c r="J45" s="273">
        <f>+H45*I45</f>
        <v>40</v>
      </c>
      <c r="K45" s="272">
        <v>0</v>
      </c>
      <c r="L45" s="272">
        <v>0</v>
      </c>
      <c r="M45" s="274">
        <f>ROUND(C45*SUM(D45,G45,J45,L45,K45),)</f>
        <v>0</v>
      </c>
    </row>
    <row r="46" spans="1:13" ht="14.45" thickBot="1">
      <c r="A46" s="344"/>
      <c r="B46" s="345"/>
      <c r="C46" s="346"/>
      <c r="D46" s="347"/>
      <c r="E46" s="346"/>
      <c r="F46" s="347"/>
      <c r="G46" s="348"/>
      <c r="H46" s="346"/>
      <c r="I46" s="347"/>
      <c r="J46" s="348"/>
      <c r="K46" s="349"/>
      <c r="L46" s="350" t="s">
        <v>310</v>
      </c>
      <c r="M46" s="351">
        <f>ROUND(SUM(M43:M45),0)</f>
        <v>0</v>
      </c>
    </row>
    <row r="47" spans="1:13" ht="14.45" thickTop="1">
      <c r="A47" s="289">
        <v>4</v>
      </c>
      <c r="B47" s="290"/>
      <c r="C47" s="291">
        <v>0</v>
      </c>
      <c r="D47" s="292">
        <f>ROUND(+D43*1.03,)</f>
        <v>0</v>
      </c>
      <c r="E47" s="291">
        <v>0</v>
      </c>
      <c r="F47" s="292">
        <f>ROUND(+F43*1.03,)</f>
        <v>0</v>
      </c>
      <c r="G47" s="293">
        <f>ROUND(+E47*F47,)</f>
        <v>0</v>
      </c>
      <c r="H47" s="294">
        <f>+E47+1</f>
        <v>1</v>
      </c>
      <c r="I47" s="292">
        <v>40</v>
      </c>
      <c r="J47" s="310">
        <f>+H47*I47</f>
        <v>40</v>
      </c>
      <c r="K47" s="310">
        <v>0</v>
      </c>
      <c r="L47" s="310">
        <v>0</v>
      </c>
      <c r="M47" s="295">
        <f>ROUND(C47*SUM(D47,G47,J47,L47,K47),)</f>
        <v>0</v>
      </c>
    </row>
    <row r="48" spans="1:13" ht="14.1">
      <c r="A48" s="263">
        <v>4</v>
      </c>
      <c r="B48" s="264"/>
      <c r="C48" s="265">
        <v>0</v>
      </c>
      <c r="D48" s="266">
        <f>ROUND(+D44*1.03,)</f>
        <v>0</v>
      </c>
      <c r="E48" s="265">
        <v>0</v>
      </c>
      <c r="F48" s="266">
        <f>ROUND(+F44*1.03,)</f>
        <v>0</v>
      </c>
      <c r="G48" s="267">
        <f>ROUND(+E48*F48,)</f>
        <v>0</v>
      </c>
      <c r="H48" s="265">
        <f>+E48+1</f>
        <v>1</v>
      </c>
      <c r="I48" s="266">
        <v>40</v>
      </c>
      <c r="J48" s="311">
        <f>+H48*I48</f>
        <v>40</v>
      </c>
      <c r="K48" s="311">
        <v>0</v>
      </c>
      <c r="L48" s="311">
        <v>0</v>
      </c>
      <c r="M48" s="268">
        <f>ROUND(C48*SUM(D48,G48,J48,L48,K48),)</f>
        <v>0</v>
      </c>
    </row>
    <row r="49" spans="1:13" ht="14.1">
      <c r="A49" s="269">
        <v>4</v>
      </c>
      <c r="B49" s="270"/>
      <c r="C49" s="271">
        <v>0</v>
      </c>
      <c r="D49" s="272">
        <f>ROUND(+D45*1.03,)</f>
        <v>0</v>
      </c>
      <c r="E49" s="271">
        <v>0</v>
      </c>
      <c r="F49" s="272">
        <f>ROUND(+F45*1.03,)</f>
        <v>0</v>
      </c>
      <c r="G49" s="273">
        <f>ROUND(+E49*F49,)</f>
        <v>0</v>
      </c>
      <c r="H49" s="271">
        <f>+E49+1</f>
        <v>1</v>
      </c>
      <c r="I49" s="272">
        <v>40</v>
      </c>
      <c r="J49" s="273">
        <f>+H49*I49</f>
        <v>40</v>
      </c>
      <c r="K49" s="313">
        <v>0</v>
      </c>
      <c r="L49" s="272">
        <v>0</v>
      </c>
      <c r="M49" s="274">
        <f>ROUND(C49*SUM(D49,G49,J49,L49,K49),)</f>
        <v>0</v>
      </c>
    </row>
    <row r="50" spans="1:13" ht="14.45" thickBot="1">
      <c r="A50" s="352"/>
      <c r="B50" s="353"/>
      <c r="C50" s="354"/>
      <c r="D50" s="355"/>
      <c r="E50" s="354"/>
      <c r="F50" s="355"/>
      <c r="G50" s="356"/>
      <c r="H50" s="354"/>
      <c r="I50" s="355"/>
      <c r="J50" s="356"/>
      <c r="K50" s="355"/>
      <c r="L50" s="357" t="s">
        <v>311</v>
      </c>
      <c r="M50" s="358">
        <f>ROUND(SUM(M47:M49),0)</f>
        <v>0</v>
      </c>
    </row>
    <row r="51" spans="1:13" ht="14.45" thickTop="1">
      <c r="A51" s="259">
        <v>5</v>
      </c>
      <c r="B51" s="260"/>
      <c r="C51" s="256">
        <v>0</v>
      </c>
      <c r="D51" s="257">
        <f>ROUND(+D47*1.03,)</f>
        <v>0</v>
      </c>
      <c r="E51" s="256">
        <v>0</v>
      </c>
      <c r="F51" s="257">
        <f>ROUND(+F47*1.03,)</f>
        <v>0</v>
      </c>
      <c r="G51" s="258">
        <f>ROUND(+E51*F51,)</f>
        <v>0</v>
      </c>
      <c r="H51" s="256">
        <f>+E51+1</f>
        <v>1</v>
      </c>
      <c r="I51" s="257">
        <v>40</v>
      </c>
      <c r="J51" s="258">
        <f>+H51*I51</f>
        <v>40</v>
      </c>
      <c r="K51" s="257">
        <v>0</v>
      </c>
      <c r="L51" s="257">
        <v>0</v>
      </c>
      <c r="M51" s="262">
        <f>ROUND(C51*SUM(D51,G51,J51,L51,K51),)</f>
        <v>0</v>
      </c>
    </row>
    <row r="52" spans="1:13" ht="14.1">
      <c r="A52" s="263">
        <v>5</v>
      </c>
      <c r="B52" s="264"/>
      <c r="C52" s="265">
        <v>0</v>
      </c>
      <c r="D52" s="266">
        <f>ROUND(+D48*1.03,)</f>
        <v>0</v>
      </c>
      <c r="E52" s="265">
        <v>0</v>
      </c>
      <c r="F52" s="266">
        <f>ROUND(+F48*1.03,)</f>
        <v>0</v>
      </c>
      <c r="G52" s="267">
        <f>ROUND(+E52*F52,)</f>
        <v>0</v>
      </c>
      <c r="H52" s="265">
        <f>+E52+1</f>
        <v>1</v>
      </c>
      <c r="I52" s="266">
        <v>40</v>
      </c>
      <c r="J52" s="267">
        <f>+H52*I52</f>
        <v>40</v>
      </c>
      <c r="K52" s="266">
        <v>0</v>
      </c>
      <c r="L52" s="266">
        <v>0</v>
      </c>
      <c r="M52" s="268">
        <f>ROUND(C52*SUM(D52,G52,J52,L52,K52),)</f>
        <v>0</v>
      </c>
    </row>
    <row r="53" spans="1:13" ht="14.1">
      <c r="A53" s="269">
        <v>5</v>
      </c>
      <c r="B53" s="270"/>
      <c r="C53" s="271">
        <v>0</v>
      </c>
      <c r="D53" s="272">
        <f>ROUND(+D49*1.03,)</f>
        <v>0</v>
      </c>
      <c r="E53" s="271">
        <v>0</v>
      </c>
      <c r="F53" s="272">
        <f>ROUND(+F49*1.03,)</f>
        <v>0</v>
      </c>
      <c r="G53" s="273">
        <f>ROUND(+E53*F53,)</f>
        <v>0</v>
      </c>
      <c r="H53" s="271">
        <f>+E53+1</f>
        <v>1</v>
      </c>
      <c r="I53" s="272">
        <v>40</v>
      </c>
      <c r="J53" s="273">
        <f>+H53*I53</f>
        <v>40</v>
      </c>
      <c r="K53" s="272">
        <v>0</v>
      </c>
      <c r="L53" s="272">
        <v>0</v>
      </c>
      <c r="M53" s="274">
        <f>ROUND(C53*SUM(D53,G53,J53,L53,K53),)</f>
        <v>0</v>
      </c>
    </row>
    <row r="54" spans="1:13" ht="14.45" thickBot="1">
      <c r="A54" s="359"/>
      <c r="B54" s="360"/>
      <c r="C54" s="361"/>
      <c r="D54" s="362"/>
      <c r="E54" s="361"/>
      <c r="F54" s="361"/>
      <c r="G54" s="362"/>
      <c r="H54" s="361"/>
      <c r="I54" s="363"/>
      <c r="J54" s="363"/>
      <c r="K54" s="363"/>
      <c r="L54" s="364" t="s">
        <v>312</v>
      </c>
      <c r="M54" s="365">
        <f>ROUND(SUM(M51:M53),0)</f>
        <v>0</v>
      </c>
    </row>
    <row r="55" spans="1:13" ht="12.95" thickTop="1"/>
  </sheetData>
  <mergeCells count="9">
    <mergeCell ref="A32:M32"/>
    <mergeCell ref="E33:G33"/>
    <mergeCell ref="H33:J33"/>
    <mergeCell ref="A30:M30"/>
    <mergeCell ref="A2:M2"/>
    <mergeCell ref="A3:M3"/>
    <mergeCell ref="A5:M5"/>
    <mergeCell ref="E6:G6"/>
    <mergeCell ref="H6:J6"/>
  </mergeCells>
  <hyperlinks>
    <hyperlink ref="A30:M30" r:id="rId1" display="Dept of State Per Diem Rates: https://aoprals.state.gov/web920/per_diem.asp" xr:uid="{00000000-0004-0000-0400-000000000000}"/>
    <hyperlink ref="A2:M2" r:id="rId2" display="Iowa State Travel Policies: http://www.controller.iastate.edu/travelinformation/homepage.htm" xr:uid="{00000000-0004-0000-0400-000001000000}"/>
  </hyperlinks>
  <pageMargins left="0.7" right="0.7" top="0.75" bottom="0.75" header="0.3" footer="0.3"/>
  <pageSetup orientation="portrait"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F48A5424CAA814080BC9FA5CCBCB1CD" ma:contentTypeVersion="15" ma:contentTypeDescription="Create a new document." ma:contentTypeScope="" ma:versionID="c0f1dd998a19a19d3873fe50d66d2a89">
  <xsd:schema xmlns:xsd="http://www.w3.org/2001/XMLSchema" xmlns:xs="http://www.w3.org/2001/XMLSchema" xmlns:p="http://schemas.microsoft.com/office/2006/metadata/properties" xmlns:ns3="f6ed7eb4-05a2-440d-934d-5d7ecc4c361b" xmlns:ns4="896419ae-3c92-41ca-b7cd-a2b5f0bfa851" targetNamespace="http://schemas.microsoft.com/office/2006/metadata/properties" ma:root="true" ma:fieldsID="f4b11616ae9937ac4a5b977e72d4e80f" ns3:_="" ns4:_="">
    <xsd:import namespace="f6ed7eb4-05a2-440d-934d-5d7ecc4c361b"/>
    <xsd:import namespace="896419ae-3c92-41ca-b7cd-a2b5f0bfa85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LengthInSeconds" minOccurs="0"/>
                <xsd:element ref="ns4:MediaServiceAutoTags" minOccurs="0"/>
                <xsd:element ref="ns4:MediaServiceSearchProperties" minOccurs="0"/>
                <xsd:element ref="ns4:_activity" minOccurs="0"/>
                <xsd:element ref="ns4:MediaServiceObjectDetectorVersions" minOccurs="0"/>
                <xsd:element ref="ns4:MediaServiceSystemTags" minOccurs="0"/>
                <xsd:element ref="ns4:MediaServiceLocation" minOccurs="0"/>
                <xsd:element ref="ns4:MediaServiceGenerationTime" minOccurs="0"/>
                <xsd:element ref="ns4: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6ed7eb4-05a2-440d-934d-5d7ecc4c361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96419ae-3c92-41ca-b7cd-a2b5f0bfa851"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LengthInSeconds" ma:index="14" nillable="true" ma:displayName="Length (seconds)"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SearchProperties" ma:index="16" nillable="true" ma:displayName="MediaServiceSearchProperties" ma:hidden="true" ma:internalName="MediaServiceSearchProperties" ma:readOnly="true">
      <xsd:simpleType>
        <xsd:restriction base="dms:Note"/>
      </xsd:simpleType>
    </xsd:element>
    <xsd:element name="_activity" ma:index="17" nillable="true" ma:displayName="_activity" ma:hidden="true" ma:internalName="_activity">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Location" ma:index="20" nillable="true" ma:displayName="Location" ma:indexed="true" ma:internalName="MediaServiceLocation" ma:readOnly="true">
      <xsd:simpleType>
        <xsd:restriction base="dms:Text"/>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896419ae-3c92-41ca-b7cd-a2b5f0bfa851" xsi:nil="true"/>
  </documentManagement>
</p:properties>
</file>

<file path=customXml/itemProps1.xml><?xml version="1.0" encoding="utf-8"?>
<ds:datastoreItem xmlns:ds="http://schemas.openxmlformats.org/officeDocument/2006/customXml" ds:itemID="{AEE94195-212E-408E-83C5-ADB1954393E7}"/>
</file>

<file path=customXml/itemProps2.xml><?xml version="1.0" encoding="utf-8"?>
<ds:datastoreItem xmlns:ds="http://schemas.openxmlformats.org/officeDocument/2006/customXml" ds:itemID="{99BBD382-939D-4EF9-A66A-9F0FAC496BC3}"/>
</file>

<file path=customXml/itemProps3.xml><?xml version="1.0" encoding="utf-8"?>
<ds:datastoreItem xmlns:ds="http://schemas.openxmlformats.org/officeDocument/2006/customXml" ds:itemID="{41795AC9-E363-4D48-A592-4825ADBF7EFB}"/>
</file>

<file path=docProps/app.xml><?xml version="1.0" encoding="utf-8"?>
<Properties xmlns="http://schemas.openxmlformats.org/officeDocument/2006/extended-properties" xmlns:vt="http://schemas.openxmlformats.org/officeDocument/2006/docPropsVTypes">
  <Application>Microsoft Excel Online</Application>
  <Manager/>
  <Company>Iowa State University</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 Alvarez</dc:creator>
  <cp:keywords/>
  <dc:description/>
  <cp:lastModifiedBy>Laura Frescoln</cp:lastModifiedBy>
  <cp:revision/>
  <dcterms:created xsi:type="dcterms:W3CDTF">2008-11-17T19:38:33Z</dcterms:created>
  <dcterms:modified xsi:type="dcterms:W3CDTF">2025-11-04T21:17:17Z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0x010100BF48A5424CAA814080BC9FA5CCBCB1CD</vt:lpwstr>
  </property>
</Properties>
</file>